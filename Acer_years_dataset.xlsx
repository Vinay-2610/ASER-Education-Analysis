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4.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5.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6.xml" ContentType="application/vnd.openxmlformats-officedocument.spreadsheetml.table+xml"/>
  <Override PartName="/xl/slicers/slicer5.xml" ContentType="application/vnd.ms-excel.slicer+xml"/>
  <Override PartName="/xl/tables/table7.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findy\Downloads\"/>
    </mc:Choice>
  </mc:AlternateContent>
  <xr:revisionPtr revIDLastSave="0" documentId="13_ncr:1_{1F5B48DE-F411-49C0-9DCD-CC64D1D6BDBC}" xr6:coauthVersionLast="47" xr6:coauthVersionMax="47" xr10:uidLastSave="{00000000-0000-0000-0000-000000000000}"/>
  <bookViews>
    <workbookView xWindow="-110" yWindow="-110" windowWidth="19420" windowHeight="11500" xr2:uid="{3927FF1B-FFC8-4612-B02E-F414CCDFFD16}"/>
  </bookViews>
  <sheets>
    <sheet name="Master_Sheet" sheetId="8" r:id="rId1"/>
    <sheet name="insights" sheetId="7" r:id="rId2"/>
    <sheet name="KPI" sheetId="9" r:id="rId3"/>
    <sheet name="2014" sheetId="5" r:id="rId4"/>
    <sheet name="2016" sheetId="1" r:id="rId5"/>
    <sheet name="2018" sheetId="2" r:id="rId6"/>
    <sheet name="2022" sheetId="3" r:id="rId7"/>
    <sheet name="2024_state" sheetId="4" r:id="rId8"/>
    <sheet name="2024_national" sheetId="6" r:id="rId9"/>
    <sheet name="Pivot_Table" sheetId="10" r:id="rId10"/>
  </sheets>
  <definedNames>
    <definedName name="Slicer_Grade">#N/A</definedName>
    <definedName name="Slicer_Grade1">#N/A</definedName>
    <definedName name="Slicer_Grade2">#N/A</definedName>
    <definedName name="Slicer_Level">#N/A</definedName>
    <definedName name="Slicer_Level1">#N/A</definedName>
    <definedName name="Slicer_Level2">#N/A</definedName>
    <definedName name="Slicer_Skill">#N/A</definedName>
    <definedName name="Slicer_Skill1">#N/A</definedName>
    <definedName name="Slicer_State">#N/A</definedName>
    <definedName name="Slicer_State1">#N/A</definedName>
    <definedName name="Slicer_State2">#N/A</definedName>
    <definedName name="Slicer_State3">#N/A</definedName>
    <definedName name="Slicer_State4">#N/A</definedName>
  </definedNames>
  <calcPr calcId="191029"/>
  <pivotCaches>
    <pivotCache cacheId="0"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9" l="1"/>
  <c r="A21" i="9"/>
  <c r="A9" i="9"/>
</calcChain>
</file>

<file path=xl/sharedStrings.xml><?xml version="1.0" encoding="utf-8"?>
<sst xmlns="http://schemas.openxmlformats.org/spreadsheetml/2006/main" count="2976" uniqueCount="63">
  <si>
    <t>Year</t>
  </si>
  <si>
    <t>State</t>
  </si>
  <si>
    <t>Grade</t>
  </si>
  <si>
    <t>Subject</t>
  </si>
  <si>
    <t>Level</t>
  </si>
  <si>
    <t>Percentage</t>
  </si>
  <si>
    <t>Bihar</t>
  </si>
  <si>
    <t>Grade 3</t>
  </si>
  <si>
    <t>Reading</t>
  </si>
  <si>
    <t>Letter</t>
  </si>
  <si>
    <t>Word</t>
  </si>
  <si>
    <t>Paragraph</t>
  </si>
  <si>
    <t>Story</t>
  </si>
  <si>
    <t>Grade 5</t>
  </si>
  <si>
    <t>Math</t>
  </si>
  <si>
    <t>Number Recognition</t>
  </si>
  <si>
    <t>Subtraction</t>
  </si>
  <si>
    <t>Division</t>
  </si>
  <si>
    <t>Chhattisgarh</t>
  </si>
  <si>
    <t>Gujarat</t>
  </si>
  <si>
    <t>Himachal Pradesh</t>
  </si>
  <si>
    <t>Jharkhand</t>
  </si>
  <si>
    <t>Kerala</t>
  </si>
  <si>
    <t>Madhya Pradesh</t>
  </si>
  <si>
    <t>Maharashtra</t>
  </si>
  <si>
    <t>Punjab</t>
  </si>
  <si>
    <t>Rajasthan</t>
  </si>
  <si>
    <t>Tamil Nadu</t>
  </si>
  <si>
    <t>Uttar Pradesh</t>
  </si>
  <si>
    <t>West Bengal</t>
  </si>
  <si>
    <t>Skill</t>
  </si>
  <si>
    <t>Reading_Std2</t>
  </si>
  <si>
    <t>Math_Division</t>
  </si>
  <si>
    <t>India</t>
  </si>
  <si>
    <t>Math_Subtraction</t>
  </si>
  <si>
    <t>Grade 8</t>
  </si>
  <si>
    <t>Nation</t>
  </si>
  <si>
    <t>ASER Data Analysis – Key Insights</t>
  </si>
  <si>
    <t>• Learning levels remained stable from 2014 to 2018</t>
  </si>
  <si>
    <t>• Significant drop observed in 2022 due to COVID</t>
  </si>
  <si>
    <t>• Recovery observed in 2024 but not fully restored</t>
  </si>
  <si>
    <t>• Grade 3 students show weakest foundational learning</t>
  </si>
  <si>
    <t>• Math skills (division) are consistently lower than reading</t>
  </si>
  <si>
    <t>• Kerala and Himachal Pradesh are top performers</t>
  </si>
  <si>
    <t>• Bihar, UP, Jharkhand show consistently low performance</t>
  </si>
  <si>
    <t>• Learning gap between states increased after COVID</t>
  </si>
  <si>
    <t>Source</t>
  </si>
  <si>
    <t>Reading_Story</t>
  </si>
  <si>
    <t>ASER_2014</t>
  </si>
  <si>
    <t>ASER_2016</t>
  </si>
  <si>
    <t>ASER_2018</t>
  </si>
  <si>
    <t>ASER_2022</t>
  </si>
  <si>
    <t>ASER_2024</t>
  </si>
  <si>
    <t>KPI</t>
  </si>
  <si>
    <t>KPIs summarize large datasets into key performance indicators, making it easier to understand trends and patterns quickly.</t>
  </si>
  <si>
    <t>Average Reading</t>
  </si>
  <si>
    <t>Row Labels</t>
  </si>
  <si>
    <t>Grand Total</t>
  </si>
  <si>
    <t>Average of Percentage</t>
  </si>
  <si>
    <t>Best State</t>
  </si>
  <si>
    <t>Worst State</t>
  </si>
  <si>
    <t>RECOVERY (2022 → 2024)</t>
  </si>
  <si>
    <t xml:space="preserve">Average Math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</si>
</sst>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3" fillId="0" borderId="0" xfId="0" applyFont="1"/>
    <xf numFmtId="0" fontId="4" fillId="0" borderId="0" xfId="0" applyFont="1"/>
    <xf numFmtId="0" fontId="0" fillId="0" borderId="0" xfId="0" applyAlignment="1">
      <alignment horizontal="left"/>
    </xf>
    <xf numFmtId="0" fontId="0" fillId="0" borderId="0" xfId="0" pivotButton="1"/>
    <xf numFmtId="0" fontId="2" fillId="2" borderId="0" xfId="0" applyFont="1" applyFill="1" applyAlignment="1">
      <alignment horizontal="center"/>
    </xf>
    <xf numFmtId="0" fontId="0" fillId="2" borderId="0" xfId="0"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1" fillId="6" borderId="0" xfId="0" applyFont="1" applyFill="1" applyAlignment="1">
      <alignment horizontal="center"/>
    </xf>
    <xf numFmtId="0" fontId="0" fillId="6" borderId="0" xfId="0" applyFill="1" applyAlignment="1">
      <alignment horizontal="center"/>
    </xf>
    <xf numFmtId="0" fontId="5" fillId="0" borderId="0" xfId="0" applyFont="1" applyAlignment="1">
      <alignment horizontal="center"/>
    </xf>
    <xf numFmtId="0" fontId="0" fillId="0" borderId="0" xfId="0" applyAlignment="1">
      <alignment horizontal="center"/>
    </xf>
  </cellXfs>
  <cellStyles count="1">
    <cellStyle name="Normal" xfId="0" builtinId="0"/>
  </cellStyles>
  <dxfs count="2">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6</xdr:col>
      <xdr:colOff>158750</xdr:colOff>
      <xdr:row>1</xdr:row>
      <xdr:rowOff>50801</xdr:rowOff>
    </xdr:from>
    <xdr:to>
      <xdr:col>8</xdr:col>
      <xdr:colOff>209550</xdr:colOff>
      <xdr:row>9</xdr:row>
      <xdr:rowOff>88901</xdr:rowOff>
    </xdr:to>
    <mc:AlternateContent xmlns:mc="http://schemas.openxmlformats.org/markup-compatibility/2006" xmlns:sle15="http://schemas.microsoft.com/office/drawing/2012/slicer">
      <mc:Choice Requires="sle15">
        <xdr:graphicFrame macro="">
          <xdr:nvGraphicFramePr>
            <xdr:cNvPr id="3" name="State">
              <a:extLst>
                <a:ext uri="{FF2B5EF4-FFF2-40B4-BE49-F238E27FC236}">
                  <a16:creationId xmlns:a16="http://schemas.microsoft.com/office/drawing/2014/main" id="{CFCC8AA6-672E-6F50-3238-8F0C1D8E9ED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819900" y="234951"/>
              <a:ext cx="1270000" cy="1511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355600</xdr:colOff>
      <xdr:row>1</xdr:row>
      <xdr:rowOff>63501</xdr:rowOff>
    </xdr:from>
    <xdr:to>
      <xdr:col>10</xdr:col>
      <xdr:colOff>431800</xdr:colOff>
      <xdr:row>6</xdr:row>
      <xdr:rowOff>63501</xdr:rowOff>
    </xdr:to>
    <mc:AlternateContent xmlns:mc="http://schemas.openxmlformats.org/markup-compatibility/2006" xmlns:sle15="http://schemas.microsoft.com/office/drawing/2012/slicer">
      <mc:Choice Requires="sle15">
        <xdr:graphicFrame macro="">
          <xdr:nvGraphicFramePr>
            <xdr:cNvPr id="4" name="Grade">
              <a:extLst>
                <a:ext uri="{FF2B5EF4-FFF2-40B4-BE49-F238E27FC236}">
                  <a16:creationId xmlns:a16="http://schemas.microsoft.com/office/drawing/2014/main" id="{0228DA68-8D17-5E74-A148-8B842C3E2BCF}"/>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8235950" y="247651"/>
              <a:ext cx="1295400" cy="920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19050</xdr:colOff>
      <xdr:row>1</xdr:row>
      <xdr:rowOff>88901</xdr:rowOff>
    </xdr:from>
    <xdr:to>
      <xdr:col>13</xdr:col>
      <xdr:colOff>190500</xdr:colOff>
      <xdr:row>10</xdr:row>
      <xdr:rowOff>19051</xdr:rowOff>
    </xdr:to>
    <mc:AlternateContent xmlns:mc="http://schemas.openxmlformats.org/markup-compatibility/2006" xmlns:sle15="http://schemas.microsoft.com/office/drawing/2012/slicer">
      <mc:Choice Requires="sle15">
        <xdr:graphicFrame macro="">
          <xdr:nvGraphicFramePr>
            <xdr:cNvPr id="5" name="Level">
              <a:extLst>
                <a:ext uri="{FF2B5EF4-FFF2-40B4-BE49-F238E27FC236}">
                  <a16:creationId xmlns:a16="http://schemas.microsoft.com/office/drawing/2014/main" id="{635670F0-6520-61FF-FFC9-7BABBFB69D8E}"/>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9728200" y="273051"/>
              <a:ext cx="1390650" cy="1587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298450</xdr:colOff>
      <xdr:row>0</xdr:row>
      <xdr:rowOff>114300</xdr:rowOff>
    </xdr:from>
    <xdr:to>
      <xdr:col>10</xdr:col>
      <xdr:colOff>298450</xdr:colOff>
      <xdr:row>134</xdr:row>
      <xdr:rowOff>60325</xdr:rowOff>
    </xdr:to>
    <mc:AlternateContent xmlns:mc="http://schemas.openxmlformats.org/markup-compatibility/2006" xmlns:sle15="http://schemas.microsoft.com/office/drawing/2012/slicer">
      <mc:Choice Requires="sle15">
        <xdr:graphicFrame macro="">
          <xdr:nvGraphicFramePr>
            <xdr:cNvPr id="2" name="State 1">
              <a:extLst>
                <a:ext uri="{FF2B5EF4-FFF2-40B4-BE49-F238E27FC236}">
                  <a16:creationId xmlns:a16="http://schemas.microsoft.com/office/drawing/2014/main" id="{9DBF5950-F595-E6D3-4BF0-98C2B8920C8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102350"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158750</xdr:colOff>
      <xdr:row>1</xdr:row>
      <xdr:rowOff>44451</xdr:rowOff>
    </xdr:from>
    <xdr:to>
      <xdr:col>13</xdr:col>
      <xdr:colOff>577850</xdr:colOff>
      <xdr:row>6</xdr:row>
      <xdr:rowOff>25400</xdr:rowOff>
    </xdr:to>
    <mc:AlternateContent xmlns:mc="http://schemas.openxmlformats.org/markup-compatibility/2006" xmlns:sle15="http://schemas.microsoft.com/office/drawing/2012/slicer">
      <mc:Choice Requires="sle15">
        <xdr:graphicFrame macro="">
          <xdr:nvGraphicFramePr>
            <xdr:cNvPr id="3" name="Grade 1">
              <a:extLst>
                <a:ext uri="{FF2B5EF4-FFF2-40B4-BE49-F238E27FC236}">
                  <a16:creationId xmlns:a16="http://schemas.microsoft.com/office/drawing/2014/main" id="{66BC39D1-33FF-D6B6-7008-BB4523B6F0AB}"/>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8401050" y="228601"/>
              <a:ext cx="1638300" cy="901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88900</xdr:colOff>
      <xdr:row>0</xdr:row>
      <xdr:rowOff>177801</xdr:rowOff>
    </xdr:from>
    <xdr:to>
      <xdr:col>16</xdr:col>
      <xdr:colOff>298450</xdr:colOff>
      <xdr:row>9</xdr:row>
      <xdr:rowOff>6351</xdr:rowOff>
    </xdr:to>
    <mc:AlternateContent xmlns:mc="http://schemas.openxmlformats.org/markup-compatibility/2006" xmlns:sle15="http://schemas.microsoft.com/office/drawing/2012/slicer">
      <mc:Choice Requires="sle15">
        <xdr:graphicFrame macro="">
          <xdr:nvGraphicFramePr>
            <xdr:cNvPr id="4" name="Level 1">
              <a:extLst>
                <a:ext uri="{FF2B5EF4-FFF2-40B4-BE49-F238E27FC236}">
                  <a16:creationId xmlns:a16="http://schemas.microsoft.com/office/drawing/2014/main" id="{8005FFBC-43A2-B9FB-D26B-07C52E33D8C1}"/>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10160000" y="177801"/>
              <a:ext cx="1428750" cy="1485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406400</xdr:colOff>
      <xdr:row>0</xdr:row>
      <xdr:rowOff>171451</xdr:rowOff>
    </xdr:from>
    <xdr:to>
      <xdr:col>9</xdr:col>
      <xdr:colOff>114300</xdr:colOff>
      <xdr:row>10</xdr:row>
      <xdr:rowOff>19051</xdr:rowOff>
    </xdr:to>
    <mc:AlternateContent xmlns:mc="http://schemas.openxmlformats.org/markup-compatibility/2006" xmlns:sle15="http://schemas.microsoft.com/office/drawing/2012/slicer">
      <mc:Choice Requires="sle15">
        <xdr:graphicFrame macro="">
          <xdr:nvGraphicFramePr>
            <xdr:cNvPr id="2" name="State 2">
              <a:extLst>
                <a:ext uri="{FF2B5EF4-FFF2-40B4-BE49-F238E27FC236}">
                  <a16:creationId xmlns:a16="http://schemas.microsoft.com/office/drawing/2014/main" id="{8654097B-3755-C7E5-037C-BF6448297BC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5422900" y="171451"/>
              <a:ext cx="1536700" cy="1689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279400</xdr:colOff>
      <xdr:row>1</xdr:row>
      <xdr:rowOff>44451</xdr:rowOff>
    </xdr:from>
    <xdr:to>
      <xdr:col>11</xdr:col>
      <xdr:colOff>584200</xdr:colOff>
      <xdr:row>6</xdr:row>
      <xdr:rowOff>63501</xdr:rowOff>
    </xdr:to>
    <mc:AlternateContent xmlns:mc="http://schemas.openxmlformats.org/markup-compatibility/2006" xmlns:sle15="http://schemas.microsoft.com/office/drawing/2012/slicer">
      <mc:Choice Requires="sle15">
        <xdr:graphicFrame macro="">
          <xdr:nvGraphicFramePr>
            <xdr:cNvPr id="3" name="Grade 2">
              <a:extLst>
                <a:ext uri="{FF2B5EF4-FFF2-40B4-BE49-F238E27FC236}">
                  <a16:creationId xmlns:a16="http://schemas.microsoft.com/office/drawing/2014/main" id="{BA566A79-DFC2-A361-A4AD-92569D45BF6B}"/>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mlns="">
        <xdr:sp macro="" textlink="">
          <xdr:nvSpPr>
            <xdr:cNvPr id="0" name=""/>
            <xdr:cNvSpPr>
              <a:spLocks noTextEdit="1"/>
            </xdr:cNvSpPr>
          </xdr:nvSpPr>
          <xdr:spPr>
            <a:xfrm>
              <a:off x="7124700" y="228601"/>
              <a:ext cx="1524000" cy="939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57150</xdr:colOff>
      <xdr:row>1</xdr:row>
      <xdr:rowOff>25401</xdr:rowOff>
    </xdr:from>
    <xdr:to>
      <xdr:col>14</xdr:col>
      <xdr:colOff>501650</xdr:colOff>
      <xdr:row>8</xdr:row>
      <xdr:rowOff>107951</xdr:rowOff>
    </xdr:to>
    <mc:AlternateContent xmlns:mc="http://schemas.openxmlformats.org/markup-compatibility/2006" xmlns:sle15="http://schemas.microsoft.com/office/drawing/2012/slicer">
      <mc:Choice Requires="sle15">
        <xdr:graphicFrame macro="">
          <xdr:nvGraphicFramePr>
            <xdr:cNvPr id="4" name="Level 2">
              <a:extLst>
                <a:ext uri="{FF2B5EF4-FFF2-40B4-BE49-F238E27FC236}">
                  <a16:creationId xmlns:a16="http://schemas.microsoft.com/office/drawing/2014/main" id="{5C4CB0BB-849A-2614-9C27-6DCE14EFF205}"/>
                </a:ext>
              </a:extLst>
            </xdr:cNvPr>
            <xdr:cNvGraphicFramePr/>
          </xdr:nvGraphicFramePr>
          <xdr:xfrm>
            <a:off x="0" y="0"/>
            <a:ext cx="0" cy="0"/>
          </xdr:xfrm>
          <a:graphic>
            <a:graphicData uri="http://schemas.microsoft.com/office/drawing/2010/slicer">
              <sle:slicer xmlns:sle="http://schemas.microsoft.com/office/drawing/2010/slicer" name="Level 2"/>
            </a:graphicData>
          </a:graphic>
        </xdr:graphicFrame>
      </mc:Choice>
      <mc:Fallback xmlns="">
        <xdr:sp macro="" textlink="">
          <xdr:nvSpPr>
            <xdr:cNvPr id="0" name=""/>
            <xdr:cNvSpPr>
              <a:spLocks noTextEdit="1"/>
            </xdr:cNvSpPr>
          </xdr:nvSpPr>
          <xdr:spPr>
            <a:xfrm>
              <a:off x="8731250" y="209551"/>
              <a:ext cx="1663700" cy="1371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38100</xdr:colOff>
      <xdr:row>1</xdr:row>
      <xdr:rowOff>38101</xdr:rowOff>
    </xdr:from>
    <xdr:to>
      <xdr:col>8</xdr:col>
      <xdr:colOff>546100</xdr:colOff>
      <xdr:row>9</xdr:row>
      <xdr:rowOff>31751</xdr:rowOff>
    </xdr:to>
    <mc:AlternateContent xmlns:mc="http://schemas.openxmlformats.org/markup-compatibility/2006" xmlns:sle15="http://schemas.microsoft.com/office/drawing/2012/slicer">
      <mc:Choice Requires="sle15">
        <xdr:graphicFrame macro="">
          <xdr:nvGraphicFramePr>
            <xdr:cNvPr id="2" name="State 3">
              <a:extLst>
                <a:ext uri="{FF2B5EF4-FFF2-40B4-BE49-F238E27FC236}">
                  <a16:creationId xmlns:a16="http://schemas.microsoft.com/office/drawing/2014/main" id="{CBDDC987-F55C-BC81-B49C-662BE9CBB0AC}"/>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7283450" y="222251"/>
              <a:ext cx="1727200" cy="14668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139700</xdr:colOff>
      <xdr:row>1</xdr:row>
      <xdr:rowOff>38101</xdr:rowOff>
    </xdr:from>
    <xdr:to>
      <xdr:col>12</xdr:col>
      <xdr:colOff>171450</xdr:colOff>
      <xdr:row>6</xdr:row>
      <xdr:rowOff>101601</xdr:rowOff>
    </xdr:to>
    <mc:AlternateContent xmlns:mc="http://schemas.openxmlformats.org/markup-compatibility/2006" xmlns:sle15="http://schemas.microsoft.com/office/drawing/2012/slicer">
      <mc:Choice Requires="sle15">
        <xdr:graphicFrame macro="">
          <xdr:nvGraphicFramePr>
            <xdr:cNvPr id="3" name="Skill">
              <a:extLst>
                <a:ext uri="{FF2B5EF4-FFF2-40B4-BE49-F238E27FC236}">
                  <a16:creationId xmlns:a16="http://schemas.microsoft.com/office/drawing/2014/main" id="{4769F897-CD93-1A11-4C9A-36B16C080758}"/>
                </a:ext>
              </a:extLst>
            </xdr:cNvPr>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mlns="">
        <xdr:sp macro="" textlink="">
          <xdr:nvSpPr>
            <xdr:cNvPr id="0" name=""/>
            <xdr:cNvSpPr>
              <a:spLocks noTextEdit="1"/>
            </xdr:cNvSpPr>
          </xdr:nvSpPr>
          <xdr:spPr>
            <a:xfrm>
              <a:off x="9213850" y="222251"/>
              <a:ext cx="1860550" cy="984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6</xdr:col>
      <xdr:colOff>6350</xdr:colOff>
      <xdr:row>1</xdr:row>
      <xdr:rowOff>44451</xdr:rowOff>
    </xdr:from>
    <xdr:to>
      <xdr:col>8</xdr:col>
      <xdr:colOff>57150</xdr:colOff>
      <xdr:row>9</xdr:row>
      <xdr:rowOff>44451</xdr:rowOff>
    </xdr:to>
    <mc:AlternateContent xmlns:mc="http://schemas.openxmlformats.org/markup-compatibility/2006" xmlns:sle15="http://schemas.microsoft.com/office/drawing/2012/slicer">
      <mc:Choice Requires="sle15">
        <xdr:graphicFrame macro="">
          <xdr:nvGraphicFramePr>
            <xdr:cNvPr id="2" name="State 4">
              <a:extLst>
                <a:ext uri="{FF2B5EF4-FFF2-40B4-BE49-F238E27FC236}">
                  <a16:creationId xmlns:a16="http://schemas.microsoft.com/office/drawing/2014/main" id="{230ECBAF-01D8-6EBB-182E-757707309808}"/>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4095750" y="228601"/>
              <a:ext cx="1270000" cy="1473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273050</xdr:colOff>
      <xdr:row>1</xdr:row>
      <xdr:rowOff>95251</xdr:rowOff>
    </xdr:from>
    <xdr:to>
      <xdr:col>10</xdr:col>
      <xdr:colOff>584200</xdr:colOff>
      <xdr:row>7</xdr:row>
      <xdr:rowOff>0</xdr:rowOff>
    </xdr:to>
    <mc:AlternateContent xmlns:mc="http://schemas.openxmlformats.org/markup-compatibility/2006" xmlns:sle15="http://schemas.microsoft.com/office/drawing/2012/slicer">
      <mc:Choice Requires="sle15">
        <xdr:graphicFrame macro="">
          <xdr:nvGraphicFramePr>
            <xdr:cNvPr id="3" name="Skill 1">
              <a:extLst>
                <a:ext uri="{FF2B5EF4-FFF2-40B4-BE49-F238E27FC236}">
                  <a16:creationId xmlns:a16="http://schemas.microsoft.com/office/drawing/2014/main" id="{84AB26AB-62B8-67FB-8A25-A73837ECF3B8}"/>
                </a:ext>
              </a:extLst>
            </xdr:cNvPr>
            <xdr:cNvGraphicFramePr/>
          </xdr:nvGraphicFramePr>
          <xdr:xfrm>
            <a:off x="0" y="0"/>
            <a:ext cx="0" cy="0"/>
          </xdr:xfrm>
          <a:graphic>
            <a:graphicData uri="http://schemas.microsoft.com/office/drawing/2010/slicer">
              <sle:slicer xmlns:sle="http://schemas.microsoft.com/office/drawing/2010/slicer" name="Skill 1"/>
            </a:graphicData>
          </a:graphic>
        </xdr:graphicFrame>
      </mc:Choice>
      <mc:Fallback xmlns="">
        <xdr:sp macro="" textlink="">
          <xdr:nvSpPr>
            <xdr:cNvPr id="0" name=""/>
            <xdr:cNvSpPr>
              <a:spLocks noTextEdit="1"/>
            </xdr:cNvSpPr>
          </xdr:nvSpPr>
          <xdr:spPr>
            <a:xfrm>
              <a:off x="5581650" y="279401"/>
              <a:ext cx="1530350" cy="1009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Babu" refreshedDate="46129.905516782404" createdVersion="8" refreshedVersion="8" minRefreshableVersion="3" recordCount="292" xr:uid="{02469F7A-DD2D-4968-817E-B8BF7B8481A2}">
  <cacheSource type="worksheet">
    <worksheetSource name="Table7"/>
  </cacheSource>
  <cacheFields count="6">
    <cacheField name="Year" numFmtId="0">
      <sharedItems containsSemiMixedTypes="0" containsString="0" containsNumber="1" containsInteger="1" minValue="2014" maxValue="2024"/>
    </cacheField>
    <cacheField name="State" numFmtId="0">
      <sharedItems count="14">
        <s v="Bihar"/>
        <s v="Chhattisgarh"/>
        <s v="Gujarat"/>
        <s v="Himachal Pradesh"/>
        <s v="Jharkhand"/>
        <s v="Kerala"/>
        <s v="Madhya Pradesh"/>
        <s v="Maharashtra"/>
        <s v="Punjab"/>
        <s v="Rajasthan"/>
        <s v="Tamil Nadu"/>
        <s v="Uttar Pradesh"/>
        <s v="West Bengal"/>
        <s v="India"/>
      </sharedItems>
    </cacheField>
    <cacheField name="Grade" numFmtId="0">
      <sharedItems/>
    </cacheField>
    <cacheField name="Skill" numFmtId="0">
      <sharedItems/>
    </cacheField>
    <cacheField name="Percentage" numFmtId="0">
      <sharedItems containsSemiMixedTypes="0" containsString="0" containsNumber="1" minValue="7.2" maxValue="92.1"/>
    </cacheField>
    <cacheField name="Sour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n v="2014"/>
    <x v="0"/>
    <s v="Grade 3"/>
    <s v="Reading_Story"/>
    <n v="10.4"/>
    <s v="ASER_2014"/>
  </r>
  <r>
    <n v="2014"/>
    <x v="0"/>
    <s v="Grade 5"/>
    <s v="Reading_Story"/>
    <n v="33.299999999999997"/>
    <s v="ASER_2014"/>
  </r>
  <r>
    <n v="2014"/>
    <x v="0"/>
    <s v="Grade 3"/>
    <s v="Math_Subtraction"/>
    <n v="26.8"/>
    <s v="ASER_2014"/>
  </r>
  <r>
    <n v="2014"/>
    <x v="0"/>
    <s v="Grade 3"/>
    <s v="Math_Division"/>
    <n v="14.1"/>
    <s v="ASER_2014"/>
  </r>
  <r>
    <n v="2014"/>
    <x v="0"/>
    <s v="Grade 5"/>
    <s v="Math_Subtraction"/>
    <n v="46.8"/>
    <s v="ASER_2014"/>
  </r>
  <r>
    <n v="2014"/>
    <x v="0"/>
    <s v="Grade 5"/>
    <s v="Math_Division"/>
    <n v="28.8"/>
    <s v="ASER_2014"/>
  </r>
  <r>
    <n v="2014"/>
    <x v="1"/>
    <s v="Grade 3"/>
    <s v="Reading_Story"/>
    <n v="11.3"/>
    <s v="ASER_2014"/>
  </r>
  <r>
    <n v="2014"/>
    <x v="1"/>
    <s v="Grade 5"/>
    <s v="Reading_Story"/>
    <n v="43.5"/>
    <s v="ASER_2014"/>
  </r>
  <r>
    <n v="2014"/>
    <x v="1"/>
    <s v="Grade 3"/>
    <s v="Math_Subtraction"/>
    <n v="42.5"/>
    <s v="ASER_2014"/>
  </r>
  <r>
    <n v="2014"/>
    <x v="1"/>
    <s v="Grade 3"/>
    <s v="Math_Division"/>
    <n v="24.3"/>
    <s v="ASER_2014"/>
  </r>
  <r>
    <n v="2014"/>
    <x v="1"/>
    <s v="Grade 5"/>
    <s v="Math_Subtraction"/>
    <n v="66.7"/>
    <s v="ASER_2014"/>
  </r>
  <r>
    <n v="2014"/>
    <x v="1"/>
    <s v="Grade 5"/>
    <s v="Math_Division"/>
    <n v="41.6"/>
    <s v="ASER_2014"/>
  </r>
  <r>
    <n v="2014"/>
    <x v="2"/>
    <s v="Grade 3"/>
    <s v="Reading_Story"/>
    <n v="15.7"/>
    <s v="ASER_2014"/>
  </r>
  <r>
    <n v="2014"/>
    <x v="2"/>
    <s v="Grade 5"/>
    <s v="Reading_Story"/>
    <n v="48.2"/>
    <s v="ASER_2014"/>
  </r>
  <r>
    <n v="2014"/>
    <x v="2"/>
    <s v="Grade 3"/>
    <s v="Math_Subtraction"/>
    <n v="54.7"/>
    <s v="ASER_2014"/>
  </r>
  <r>
    <n v="2014"/>
    <x v="2"/>
    <s v="Grade 3"/>
    <s v="Math_Division"/>
    <n v="26.7"/>
    <s v="ASER_2014"/>
  </r>
  <r>
    <n v="2014"/>
    <x v="2"/>
    <s v="Grade 5"/>
    <s v="Math_Subtraction"/>
    <n v="72.099999999999994"/>
    <s v="ASER_2014"/>
  </r>
  <r>
    <n v="2014"/>
    <x v="2"/>
    <s v="Grade 5"/>
    <s v="Math_Division"/>
    <n v="44.6"/>
    <s v="ASER_2014"/>
  </r>
  <r>
    <n v="2014"/>
    <x v="3"/>
    <s v="Grade 3"/>
    <s v="Reading_Story"/>
    <n v="33.6"/>
    <s v="ASER_2014"/>
  </r>
  <r>
    <n v="2014"/>
    <x v="3"/>
    <s v="Grade 5"/>
    <s v="Reading_Story"/>
    <n v="67.400000000000006"/>
    <s v="ASER_2014"/>
  </r>
  <r>
    <n v="2014"/>
    <x v="3"/>
    <s v="Grade 3"/>
    <s v="Math_Subtraction"/>
    <n v="63.7"/>
    <s v="ASER_2014"/>
  </r>
  <r>
    <n v="2014"/>
    <x v="3"/>
    <s v="Grade 3"/>
    <s v="Math_Division"/>
    <n v="46.8"/>
    <s v="ASER_2014"/>
  </r>
  <r>
    <n v="2014"/>
    <x v="3"/>
    <s v="Grade 5"/>
    <s v="Math_Subtraction"/>
    <n v="84.7"/>
    <s v="ASER_2014"/>
  </r>
  <r>
    <n v="2014"/>
    <x v="3"/>
    <s v="Grade 5"/>
    <s v="Math_Division"/>
    <n v="69.400000000000006"/>
    <s v="ASER_2014"/>
  </r>
  <r>
    <n v="2014"/>
    <x v="4"/>
    <s v="Grade 3"/>
    <s v="Reading_Story"/>
    <n v="12.4"/>
    <s v="ASER_2014"/>
  </r>
  <r>
    <n v="2014"/>
    <x v="4"/>
    <s v="Grade 5"/>
    <s v="Reading_Story"/>
    <n v="39.6"/>
    <s v="ASER_2014"/>
  </r>
  <r>
    <n v="2014"/>
    <x v="4"/>
    <s v="Grade 3"/>
    <s v="Math_Subtraction"/>
    <n v="39.5"/>
    <s v="ASER_2014"/>
  </r>
  <r>
    <n v="2014"/>
    <x v="4"/>
    <s v="Grade 3"/>
    <s v="Math_Division"/>
    <n v="20.7"/>
    <s v="ASER_2014"/>
  </r>
  <r>
    <n v="2014"/>
    <x v="4"/>
    <s v="Grade 5"/>
    <s v="Math_Subtraction"/>
    <n v="59.1"/>
    <s v="ASER_2014"/>
  </r>
  <r>
    <n v="2014"/>
    <x v="4"/>
    <s v="Grade 5"/>
    <s v="Math_Division"/>
    <n v="34.4"/>
    <s v="ASER_2014"/>
  </r>
  <r>
    <n v="2014"/>
    <x v="5"/>
    <s v="Grade 3"/>
    <s v="Reading_Story"/>
    <n v="56.4"/>
    <s v="ASER_2014"/>
  </r>
  <r>
    <n v="2014"/>
    <x v="5"/>
    <s v="Grade 5"/>
    <s v="Reading_Story"/>
    <n v="84.2"/>
    <s v="ASER_2014"/>
  </r>
  <r>
    <n v="2014"/>
    <x v="5"/>
    <s v="Grade 3"/>
    <s v="Math_Subtraction"/>
    <n v="75.599999999999994"/>
    <s v="ASER_2014"/>
  </r>
  <r>
    <n v="2014"/>
    <x v="5"/>
    <s v="Grade 3"/>
    <s v="Math_Division"/>
    <n v="61.3"/>
    <s v="ASER_2014"/>
  </r>
  <r>
    <n v="2014"/>
    <x v="5"/>
    <s v="Grade 5"/>
    <s v="Math_Subtraction"/>
    <n v="90.8"/>
    <s v="ASER_2014"/>
  </r>
  <r>
    <n v="2014"/>
    <x v="5"/>
    <s v="Grade 5"/>
    <s v="Math_Division"/>
    <n v="82.1"/>
    <s v="ASER_2014"/>
  </r>
  <r>
    <n v="2014"/>
    <x v="6"/>
    <s v="Grade 3"/>
    <s v="Reading_Story"/>
    <n v="11.4"/>
    <s v="ASER_2014"/>
  </r>
  <r>
    <n v="2014"/>
    <x v="6"/>
    <s v="Grade 5"/>
    <s v="Reading_Story"/>
    <n v="35.200000000000003"/>
    <s v="ASER_2014"/>
  </r>
  <r>
    <n v="2014"/>
    <x v="6"/>
    <s v="Grade 3"/>
    <s v="Math_Subtraction"/>
    <n v="41.3"/>
    <s v="ASER_2014"/>
  </r>
  <r>
    <n v="2014"/>
    <x v="6"/>
    <s v="Grade 3"/>
    <s v="Math_Division"/>
    <n v="23.7"/>
    <s v="ASER_2014"/>
  </r>
  <r>
    <n v="2014"/>
    <x v="6"/>
    <s v="Grade 5"/>
    <s v="Math_Subtraction"/>
    <n v="61.5"/>
    <s v="ASER_2014"/>
  </r>
  <r>
    <n v="2014"/>
    <x v="6"/>
    <s v="Grade 5"/>
    <s v="Math_Division"/>
    <n v="39.4"/>
    <s v="ASER_2014"/>
  </r>
  <r>
    <n v="2014"/>
    <x v="7"/>
    <s v="Grade 3"/>
    <s v="Reading_Story"/>
    <n v="23.1"/>
    <s v="ASER_2014"/>
  </r>
  <r>
    <n v="2014"/>
    <x v="7"/>
    <s v="Grade 5"/>
    <s v="Reading_Story"/>
    <n v="58.4"/>
    <s v="ASER_2014"/>
  </r>
  <r>
    <n v="2014"/>
    <x v="7"/>
    <s v="Grade 3"/>
    <s v="Math_Subtraction"/>
    <n v="55.1"/>
    <s v="ASER_2014"/>
  </r>
  <r>
    <n v="2014"/>
    <x v="7"/>
    <s v="Grade 3"/>
    <s v="Math_Division"/>
    <n v="31.3"/>
    <s v="ASER_2014"/>
  </r>
  <r>
    <n v="2014"/>
    <x v="7"/>
    <s v="Grade 5"/>
    <s v="Math_Subtraction"/>
    <n v="75.8"/>
    <s v="ASER_2014"/>
  </r>
  <r>
    <n v="2014"/>
    <x v="7"/>
    <s v="Grade 5"/>
    <s v="Math_Division"/>
    <n v="52.7"/>
    <s v="ASER_2014"/>
  </r>
  <r>
    <n v="2014"/>
    <x v="8"/>
    <s v="Grade 3"/>
    <s v="Reading_Story"/>
    <n v="39.1"/>
    <s v="ASER_2014"/>
  </r>
  <r>
    <n v="2014"/>
    <x v="8"/>
    <s v="Grade 5"/>
    <s v="Reading_Story"/>
    <n v="69.400000000000006"/>
    <s v="ASER_2014"/>
  </r>
  <r>
    <n v="2014"/>
    <x v="8"/>
    <s v="Grade 3"/>
    <s v="Math_Subtraction"/>
    <n v="54.2"/>
    <s v="ASER_2014"/>
  </r>
  <r>
    <n v="2014"/>
    <x v="8"/>
    <s v="Grade 3"/>
    <s v="Math_Division"/>
    <n v="32.700000000000003"/>
    <s v="ASER_2014"/>
  </r>
  <r>
    <n v="2014"/>
    <x v="8"/>
    <s v="Grade 5"/>
    <s v="Math_Subtraction"/>
    <n v="76.900000000000006"/>
    <s v="ASER_2014"/>
  </r>
  <r>
    <n v="2014"/>
    <x v="8"/>
    <s v="Grade 5"/>
    <s v="Math_Division"/>
    <n v="58.6"/>
    <s v="ASER_2014"/>
  </r>
  <r>
    <n v="2014"/>
    <x v="9"/>
    <s v="Grade 3"/>
    <s v="Reading_Story"/>
    <n v="14"/>
    <s v="ASER_2014"/>
  </r>
  <r>
    <n v="2014"/>
    <x v="9"/>
    <s v="Grade 5"/>
    <s v="Reading_Story"/>
    <n v="45.1"/>
    <s v="ASER_2014"/>
  </r>
  <r>
    <n v="2014"/>
    <x v="9"/>
    <s v="Grade 3"/>
    <s v="Math_Subtraction"/>
    <n v="38.4"/>
    <s v="ASER_2014"/>
  </r>
  <r>
    <n v="2014"/>
    <x v="9"/>
    <s v="Grade 3"/>
    <s v="Math_Division"/>
    <n v="16.600000000000001"/>
    <s v="ASER_2014"/>
  </r>
  <r>
    <n v="2014"/>
    <x v="9"/>
    <s v="Grade 5"/>
    <s v="Math_Subtraction"/>
    <n v="59"/>
    <s v="ASER_2014"/>
  </r>
  <r>
    <n v="2014"/>
    <x v="9"/>
    <s v="Grade 5"/>
    <s v="Math_Division"/>
    <n v="36.6"/>
    <s v="ASER_2014"/>
  </r>
  <r>
    <n v="2014"/>
    <x v="10"/>
    <s v="Grade 3"/>
    <s v="Reading_Story"/>
    <n v="41.5"/>
    <s v="ASER_2014"/>
  </r>
  <r>
    <n v="2014"/>
    <x v="10"/>
    <s v="Grade 5"/>
    <s v="Reading_Story"/>
    <n v="70.8"/>
    <s v="ASER_2014"/>
  </r>
  <r>
    <n v="2014"/>
    <x v="10"/>
    <s v="Grade 3"/>
    <s v="Math_Subtraction"/>
    <n v="57.6"/>
    <s v="ASER_2014"/>
  </r>
  <r>
    <n v="2014"/>
    <x v="10"/>
    <s v="Grade 3"/>
    <s v="Math_Division"/>
    <n v="39.4"/>
    <s v="ASER_2014"/>
  </r>
  <r>
    <n v="2014"/>
    <x v="10"/>
    <s v="Grade 5"/>
    <s v="Math_Subtraction"/>
    <n v="76.8"/>
    <s v="ASER_2014"/>
  </r>
  <r>
    <n v="2014"/>
    <x v="10"/>
    <s v="Grade 5"/>
    <s v="Math_Division"/>
    <n v="60.2"/>
    <s v="ASER_2014"/>
  </r>
  <r>
    <n v="2014"/>
    <x v="11"/>
    <s v="Grade 3"/>
    <s v="Reading_Story"/>
    <n v="7.9"/>
    <s v="ASER_2014"/>
  </r>
  <r>
    <n v="2014"/>
    <x v="11"/>
    <s v="Grade 5"/>
    <s v="Reading_Story"/>
    <n v="30.7"/>
    <s v="ASER_2014"/>
  </r>
  <r>
    <n v="2014"/>
    <x v="11"/>
    <s v="Grade 3"/>
    <s v="Math_Subtraction"/>
    <n v="29.8"/>
    <s v="ASER_2014"/>
  </r>
  <r>
    <n v="2014"/>
    <x v="11"/>
    <s v="Grade 3"/>
    <s v="Math_Division"/>
    <n v="14.2"/>
    <s v="ASER_2014"/>
  </r>
  <r>
    <n v="2014"/>
    <x v="11"/>
    <s v="Grade 5"/>
    <s v="Math_Subtraction"/>
    <n v="48.3"/>
    <s v="ASER_2014"/>
  </r>
  <r>
    <n v="2014"/>
    <x v="11"/>
    <s v="Grade 5"/>
    <s v="Math_Division"/>
    <n v="27.1"/>
    <s v="ASER_2014"/>
  </r>
  <r>
    <n v="2014"/>
    <x v="12"/>
    <s v="Grade 3"/>
    <s v="Reading_Story"/>
    <n v="14.3"/>
    <s v="ASER_2014"/>
  </r>
  <r>
    <n v="2014"/>
    <x v="12"/>
    <s v="Grade 5"/>
    <s v="Reading_Story"/>
    <n v="47.8"/>
    <s v="ASER_2014"/>
  </r>
  <r>
    <n v="2014"/>
    <x v="12"/>
    <s v="Grade 3"/>
    <s v="Math_Subtraction"/>
    <n v="46.2"/>
    <s v="ASER_2014"/>
  </r>
  <r>
    <n v="2014"/>
    <x v="12"/>
    <s v="Grade 3"/>
    <s v="Math_Division"/>
    <n v="28.4"/>
    <s v="ASER_2014"/>
  </r>
  <r>
    <n v="2014"/>
    <x v="12"/>
    <s v="Grade 5"/>
    <s v="Math_Subtraction"/>
    <n v="63.5"/>
    <s v="ASER_2014"/>
  </r>
  <r>
    <n v="2014"/>
    <x v="12"/>
    <s v="Grade 5"/>
    <s v="Math_Division"/>
    <n v="42.7"/>
    <s v="ASER_2014"/>
  </r>
  <r>
    <n v="2016"/>
    <x v="0"/>
    <s v="Grade 3"/>
    <s v="Reading_Story"/>
    <n v="10"/>
    <s v="ASER_2016"/>
  </r>
  <r>
    <n v="2016"/>
    <x v="0"/>
    <s v="Grade 5"/>
    <s v="Reading_Story"/>
    <n v="25"/>
    <s v="ASER_2016"/>
  </r>
  <r>
    <n v="2016"/>
    <x v="0"/>
    <s v="Grade 3"/>
    <s v="Math_Subtraction"/>
    <n v="35"/>
    <s v="ASER_2016"/>
  </r>
  <r>
    <n v="2016"/>
    <x v="0"/>
    <s v="Grade 3"/>
    <s v="Math_Division"/>
    <n v="20"/>
    <s v="ASER_2016"/>
  </r>
  <r>
    <n v="2016"/>
    <x v="0"/>
    <s v="Grade 5"/>
    <s v="Math_Subtraction"/>
    <n v="40"/>
    <s v="ASER_2016"/>
  </r>
  <r>
    <n v="2016"/>
    <x v="0"/>
    <s v="Grade 5"/>
    <s v="Math_Division"/>
    <n v="25"/>
    <s v="ASER_2016"/>
  </r>
  <r>
    <n v="2016"/>
    <x v="1"/>
    <s v="Grade 3"/>
    <s v="Reading_Story"/>
    <n v="12"/>
    <s v="ASER_2016"/>
  </r>
  <r>
    <n v="2016"/>
    <x v="1"/>
    <s v="Grade 5"/>
    <s v="Reading_Story"/>
    <n v="28"/>
    <s v="ASER_2016"/>
  </r>
  <r>
    <n v="2016"/>
    <x v="1"/>
    <s v="Grade 3"/>
    <s v="Math_Subtraction"/>
    <n v="43"/>
    <s v="ASER_2016"/>
  </r>
  <r>
    <n v="2016"/>
    <x v="1"/>
    <s v="Grade 3"/>
    <s v="Math_Division"/>
    <n v="20"/>
    <s v="ASER_2016"/>
  </r>
  <r>
    <n v="2016"/>
    <x v="1"/>
    <s v="Grade 5"/>
    <s v="Math_Subtraction"/>
    <n v="48"/>
    <s v="ASER_2016"/>
  </r>
  <r>
    <n v="2016"/>
    <x v="1"/>
    <s v="Grade 5"/>
    <s v="Math_Division"/>
    <n v="30"/>
    <s v="ASER_2016"/>
  </r>
  <r>
    <n v="2016"/>
    <x v="2"/>
    <s v="Grade 3"/>
    <s v="Reading_Story"/>
    <n v="50"/>
    <s v="ASER_2016"/>
  </r>
  <r>
    <n v="2016"/>
    <x v="2"/>
    <s v="Grade 5"/>
    <s v="Reading_Story"/>
    <n v="60"/>
    <s v="ASER_2016"/>
  </r>
  <r>
    <n v="2016"/>
    <x v="2"/>
    <s v="Grade 3"/>
    <s v="Math_Subtraction"/>
    <n v="45"/>
    <s v="ASER_2016"/>
  </r>
  <r>
    <n v="2016"/>
    <x v="2"/>
    <s v="Grade 3"/>
    <s v="Math_Division"/>
    <n v="30"/>
    <s v="ASER_2016"/>
  </r>
  <r>
    <n v="2016"/>
    <x v="2"/>
    <s v="Grade 5"/>
    <s v="Math_Subtraction"/>
    <n v="55"/>
    <s v="ASER_2016"/>
  </r>
  <r>
    <n v="2016"/>
    <x v="2"/>
    <s v="Grade 5"/>
    <s v="Math_Division"/>
    <n v="40"/>
    <s v="ASER_2016"/>
  </r>
  <r>
    <n v="2016"/>
    <x v="3"/>
    <s v="Grade 3"/>
    <s v="Reading_Story"/>
    <n v="45"/>
    <s v="ASER_2016"/>
  </r>
  <r>
    <n v="2016"/>
    <x v="3"/>
    <s v="Grade 5"/>
    <s v="Reading_Story"/>
    <n v="60"/>
    <s v="ASER_2016"/>
  </r>
  <r>
    <n v="2016"/>
    <x v="3"/>
    <s v="Grade 3"/>
    <s v="Math_Subtraction"/>
    <n v="60"/>
    <s v="ASER_2016"/>
  </r>
  <r>
    <n v="2016"/>
    <x v="3"/>
    <s v="Grade 3"/>
    <s v="Math_Division"/>
    <n v="50"/>
    <s v="ASER_2016"/>
  </r>
  <r>
    <n v="2016"/>
    <x v="3"/>
    <s v="Grade 5"/>
    <s v="Math_Subtraction"/>
    <n v="70"/>
    <s v="ASER_2016"/>
  </r>
  <r>
    <n v="2016"/>
    <x v="3"/>
    <s v="Grade 5"/>
    <s v="Math_Division"/>
    <n v="65"/>
    <s v="ASER_2016"/>
  </r>
  <r>
    <n v="2016"/>
    <x v="4"/>
    <s v="Grade 3"/>
    <s v="Reading_Story"/>
    <n v="11"/>
    <s v="ASER_2016"/>
  </r>
  <r>
    <n v="2016"/>
    <x v="4"/>
    <s v="Grade 5"/>
    <s v="Reading_Story"/>
    <n v="27"/>
    <s v="ASER_2016"/>
  </r>
  <r>
    <n v="2016"/>
    <x v="4"/>
    <s v="Grade 3"/>
    <s v="Math_Subtraction"/>
    <n v="33"/>
    <s v="ASER_2016"/>
  </r>
  <r>
    <n v="2016"/>
    <x v="4"/>
    <s v="Grade 3"/>
    <s v="Math_Division"/>
    <n v="21"/>
    <s v="ASER_2016"/>
  </r>
  <r>
    <n v="2016"/>
    <x v="4"/>
    <s v="Grade 5"/>
    <s v="Math_Subtraction"/>
    <n v="41"/>
    <s v="ASER_2016"/>
  </r>
  <r>
    <n v="2016"/>
    <x v="4"/>
    <s v="Grade 5"/>
    <s v="Math_Division"/>
    <n v="29"/>
    <s v="ASER_2016"/>
  </r>
  <r>
    <n v="2016"/>
    <x v="5"/>
    <s v="Grade 3"/>
    <s v="Reading_Story"/>
    <n v="54"/>
    <s v="ASER_2016"/>
  </r>
  <r>
    <n v="2016"/>
    <x v="5"/>
    <s v="Grade 5"/>
    <s v="Reading_Story"/>
    <n v="70"/>
    <s v="ASER_2016"/>
  </r>
  <r>
    <n v="2016"/>
    <x v="5"/>
    <s v="Grade 3"/>
    <s v="Math_Subtraction"/>
    <n v="65"/>
    <s v="ASER_2016"/>
  </r>
  <r>
    <n v="2016"/>
    <x v="5"/>
    <s v="Grade 3"/>
    <s v="Math_Division"/>
    <n v="57"/>
    <s v="ASER_2016"/>
  </r>
  <r>
    <n v="2016"/>
    <x v="5"/>
    <s v="Grade 5"/>
    <s v="Math_Subtraction"/>
    <n v="75"/>
    <s v="ASER_2016"/>
  </r>
  <r>
    <n v="2016"/>
    <x v="5"/>
    <s v="Grade 5"/>
    <s v="Math_Division"/>
    <n v="72"/>
    <s v="ASER_2016"/>
  </r>
  <r>
    <n v="2016"/>
    <x v="6"/>
    <s v="Grade 3"/>
    <s v="Reading_Story"/>
    <n v="12"/>
    <s v="ASER_2016"/>
  </r>
  <r>
    <n v="2016"/>
    <x v="6"/>
    <s v="Grade 5"/>
    <s v="Reading_Story"/>
    <n v="28"/>
    <s v="ASER_2016"/>
  </r>
  <r>
    <n v="2016"/>
    <x v="6"/>
    <s v="Grade 3"/>
    <s v="Math_Subtraction"/>
    <n v="36"/>
    <s v="ASER_2016"/>
  </r>
  <r>
    <n v="2016"/>
    <x v="6"/>
    <s v="Grade 3"/>
    <s v="Math_Division"/>
    <n v="23"/>
    <s v="ASER_2016"/>
  </r>
  <r>
    <n v="2016"/>
    <x v="6"/>
    <s v="Grade 5"/>
    <s v="Math_Subtraction"/>
    <n v="45"/>
    <s v="ASER_2016"/>
  </r>
  <r>
    <n v="2016"/>
    <x v="6"/>
    <s v="Grade 5"/>
    <s v="Math_Division"/>
    <n v="30"/>
    <s v="ASER_2016"/>
  </r>
  <r>
    <n v="2016"/>
    <x v="7"/>
    <s v="Grade 3"/>
    <s v="Reading_Story"/>
    <n v="50"/>
    <s v="ASER_2016"/>
  </r>
  <r>
    <n v="2016"/>
    <x v="7"/>
    <s v="Grade 5"/>
    <s v="Reading_Story"/>
    <n v="65"/>
    <s v="ASER_2016"/>
  </r>
  <r>
    <n v="2016"/>
    <x v="7"/>
    <s v="Grade 3"/>
    <s v="Math_Subtraction"/>
    <n v="34"/>
    <s v="ASER_2016"/>
  </r>
  <r>
    <n v="2016"/>
    <x v="7"/>
    <s v="Grade 3"/>
    <s v="Math_Division"/>
    <n v="22"/>
    <s v="ASER_2016"/>
  </r>
  <r>
    <n v="2016"/>
    <x v="7"/>
    <s v="Grade 5"/>
    <s v="Math_Subtraction"/>
    <n v="68"/>
    <s v="ASER_2016"/>
  </r>
  <r>
    <n v="2016"/>
    <x v="7"/>
    <s v="Grade 5"/>
    <s v="Math_Division"/>
    <n v="60"/>
    <s v="ASER_2016"/>
  </r>
  <r>
    <n v="2016"/>
    <x v="8"/>
    <s v="Grade 3"/>
    <s v="Reading_Story"/>
    <n v="55"/>
    <s v="ASER_2016"/>
  </r>
  <r>
    <n v="2016"/>
    <x v="8"/>
    <s v="Grade 5"/>
    <s v="Reading_Story"/>
    <n v="68"/>
    <s v="ASER_2016"/>
  </r>
  <r>
    <n v="2016"/>
    <x v="8"/>
    <s v="Grade 3"/>
    <s v="Math_Subtraction"/>
    <n v="60"/>
    <s v="ASER_2016"/>
  </r>
  <r>
    <n v="2016"/>
    <x v="8"/>
    <s v="Grade 3"/>
    <s v="Math_Division"/>
    <n v="52"/>
    <s v="ASER_2016"/>
  </r>
  <r>
    <n v="2016"/>
    <x v="8"/>
    <s v="Grade 5"/>
    <s v="Math_Subtraction"/>
    <n v="70"/>
    <s v="ASER_2016"/>
  </r>
  <r>
    <n v="2016"/>
    <x v="8"/>
    <s v="Grade 5"/>
    <s v="Math_Division"/>
    <n v="66"/>
    <s v="ASER_2016"/>
  </r>
  <r>
    <n v="2016"/>
    <x v="9"/>
    <s v="Grade 3"/>
    <s v="Reading_Story"/>
    <n v="15"/>
    <s v="ASER_2016"/>
  </r>
  <r>
    <n v="2016"/>
    <x v="9"/>
    <s v="Grade 5"/>
    <s v="Reading_Story"/>
    <n v="35"/>
    <s v="ASER_2016"/>
  </r>
  <r>
    <n v="2016"/>
    <x v="9"/>
    <s v="Grade 3"/>
    <s v="Math_Subtraction"/>
    <n v="30"/>
    <s v="ASER_2016"/>
  </r>
  <r>
    <n v="2016"/>
    <x v="9"/>
    <s v="Grade 3"/>
    <s v="Math_Division"/>
    <n v="15"/>
    <s v="ASER_2016"/>
  </r>
  <r>
    <n v="2016"/>
    <x v="9"/>
    <s v="Grade 5"/>
    <s v="Math_Subtraction"/>
    <n v="42"/>
    <s v="ASER_2016"/>
  </r>
  <r>
    <n v="2016"/>
    <x v="9"/>
    <s v="Grade 5"/>
    <s v="Math_Division"/>
    <n v="28"/>
    <s v="ASER_2016"/>
  </r>
  <r>
    <n v="2016"/>
    <x v="10"/>
    <s v="Grade 3"/>
    <s v="Reading_Story"/>
    <n v="60"/>
    <s v="ASER_2016"/>
  </r>
  <r>
    <n v="2016"/>
    <x v="10"/>
    <s v="Grade 5"/>
    <s v="Reading_Story"/>
    <n v="75"/>
    <s v="ASER_2016"/>
  </r>
  <r>
    <n v="2016"/>
    <x v="10"/>
    <s v="Grade 3"/>
    <s v="Math_Subtraction"/>
    <n v="55"/>
    <s v="ASER_2016"/>
  </r>
  <r>
    <n v="2016"/>
    <x v="10"/>
    <s v="Grade 3"/>
    <s v="Math_Division"/>
    <n v="45"/>
    <s v="ASER_2016"/>
  </r>
  <r>
    <n v="2016"/>
    <x v="10"/>
    <s v="Grade 5"/>
    <s v="Math_Subtraction"/>
    <n v="72"/>
    <s v="ASER_2016"/>
  </r>
  <r>
    <n v="2016"/>
    <x v="10"/>
    <s v="Grade 5"/>
    <s v="Math_Division"/>
    <n v="70"/>
    <s v="ASER_2016"/>
  </r>
  <r>
    <n v="2016"/>
    <x v="11"/>
    <s v="Grade 3"/>
    <s v="Reading_Story"/>
    <n v="7.2"/>
    <s v="ASER_2016"/>
  </r>
  <r>
    <n v="2016"/>
    <x v="11"/>
    <s v="Grade 5"/>
    <s v="Reading_Story"/>
    <n v="30"/>
    <s v="ASER_2016"/>
  </r>
  <r>
    <n v="2016"/>
    <x v="11"/>
    <s v="Grade 3"/>
    <s v="Math_Subtraction"/>
    <n v="25"/>
    <s v="ASER_2016"/>
  </r>
  <r>
    <n v="2016"/>
    <x v="11"/>
    <s v="Grade 3"/>
    <s v="Math_Division"/>
    <n v="18"/>
    <s v="ASER_2016"/>
  </r>
  <r>
    <n v="2016"/>
    <x v="11"/>
    <s v="Grade 5"/>
    <s v="Math_Subtraction"/>
    <n v="38"/>
    <s v="ASER_2016"/>
  </r>
  <r>
    <n v="2016"/>
    <x v="11"/>
    <s v="Grade 5"/>
    <s v="Math_Division"/>
    <n v="27"/>
    <s v="ASER_2016"/>
  </r>
  <r>
    <n v="2016"/>
    <x v="12"/>
    <s v="Grade 3"/>
    <s v="Reading_Story"/>
    <n v="20"/>
    <s v="ASER_2016"/>
  </r>
  <r>
    <n v="2016"/>
    <x v="12"/>
    <s v="Grade 5"/>
    <s v="Reading_Story"/>
    <n v="40"/>
    <s v="ASER_2016"/>
  </r>
  <r>
    <n v="2016"/>
    <x v="12"/>
    <s v="Grade 3"/>
    <s v="Math_Subtraction"/>
    <n v="45"/>
    <s v="ASER_2016"/>
  </r>
  <r>
    <n v="2016"/>
    <x v="12"/>
    <s v="Grade 3"/>
    <s v="Math_Division"/>
    <n v="30"/>
    <s v="ASER_2016"/>
  </r>
  <r>
    <n v="2016"/>
    <x v="12"/>
    <s v="Grade 5"/>
    <s v="Math_Subtraction"/>
    <n v="55"/>
    <s v="ASER_2016"/>
  </r>
  <r>
    <n v="2016"/>
    <x v="12"/>
    <s v="Grade 5"/>
    <s v="Math_Division"/>
    <n v="42"/>
    <s v="ASER_2016"/>
  </r>
  <r>
    <n v="2018"/>
    <x v="0"/>
    <s v="Grade 3"/>
    <s v="Reading_Story"/>
    <n v="9.8000000000000007"/>
    <s v="ASER_2018"/>
  </r>
  <r>
    <n v="2018"/>
    <x v="0"/>
    <s v="Grade 5"/>
    <s v="Reading_Story"/>
    <n v="27.3"/>
    <s v="ASER_2018"/>
  </r>
  <r>
    <n v="2018"/>
    <x v="0"/>
    <s v="Grade 3"/>
    <s v="Math_Subtraction"/>
    <n v="36.5"/>
    <s v="ASER_2018"/>
  </r>
  <r>
    <n v="2018"/>
    <x v="0"/>
    <s v="Grade 3"/>
    <s v="Math_Division"/>
    <n v="21.4"/>
    <s v="ASER_2018"/>
  </r>
  <r>
    <n v="2018"/>
    <x v="0"/>
    <s v="Grade 5"/>
    <s v="Math_Subtraction"/>
    <n v="45.2"/>
    <s v="ASER_2018"/>
  </r>
  <r>
    <n v="2018"/>
    <x v="0"/>
    <s v="Grade 5"/>
    <s v="Math_Division"/>
    <n v="28.9"/>
    <s v="ASER_2018"/>
  </r>
  <r>
    <n v="2018"/>
    <x v="1"/>
    <s v="Grade 3"/>
    <s v="Reading_Story"/>
    <n v="12.3"/>
    <s v="ASER_2018"/>
  </r>
  <r>
    <n v="2018"/>
    <x v="1"/>
    <s v="Grade 5"/>
    <s v="Reading_Story"/>
    <n v="31.5"/>
    <s v="ASER_2018"/>
  </r>
  <r>
    <n v="2018"/>
    <x v="1"/>
    <s v="Grade 3"/>
    <s v="Math_Subtraction"/>
    <n v="42.7"/>
    <s v="ASER_2018"/>
  </r>
  <r>
    <n v="2018"/>
    <x v="1"/>
    <s v="Grade 3"/>
    <s v="Math_Division"/>
    <n v="24.8"/>
    <s v="ASER_2018"/>
  </r>
  <r>
    <n v="2018"/>
    <x v="1"/>
    <s v="Grade 5"/>
    <s v="Math_Subtraction"/>
    <n v="52.9"/>
    <s v="ASER_2018"/>
  </r>
  <r>
    <n v="2018"/>
    <x v="1"/>
    <s v="Grade 5"/>
    <s v="Math_Division"/>
    <n v="34.6"/>
    <s v="ASER_2018"/>
  </r>
  <r>
    <n v="2018"/>
    <x v="2"/>
    <s v="Grade 3"/>
    <s v="Reading_Story"/>
    <n v="47.5"/>
    <s v="ASER_2018"/>
  </r>
  <r>
    <n v="2018"/>
    <x v="2"/>
    <s v="Grade 5"/>
    <s v="Reading_Story"/>
    <n v="58.7"/>
    <s v="ASER_2018"/>
  </r>
  <r>
    <n v="2018"/>
    <x v="2"/>
    <s v="Grade 3"/>
    <s v="Math_Subtraction"/>
    <n v="49.2"/>
    <s v="ASER_2018"/>
  </r>
  <r>
    <n v="2018"/>
    <x v="2"/>
    <s v="Grade 3"/>
    <s v="Math_Division"/>
    <n v="32.6"/>
    <s v="ASER_2018"/>
  </r>
  <r>
    <n v="2018"/>
    <x v="2"/>
    <s v="Grade 5"/>
    <s v="Math_Subtraction"/>
    <n v="60.3"/>
    <s v="ASER_2018"/>
  </r>
  <r>
    <n v="2018"/>
    <x v="2"/>
    <s v="Grade 5"/>
    <s v="Math_Division"/>
    <n v="44.8"/>
    <s v="ASER_2018"/>
  </r>
  <r>
    <n v="2018"/>
    <x v="3"/>
    <s v="Grade 3"/>
    <s v="Reading_Story"/>
    <n v="46.3"/>
    <s v="ASER_2018"/>
  </r>
  <r>
    <n v="2018"/>
    <x v="3"/>
    <s v="Grade 5"/>
    <s v="Reading_Story"/>
    <n v="74.5"/>
    <s v="ASER_2018"/>
  </r>
  <r>
    <n v="2018"/>
    <x v="3"/>
    <s v="Grade 3"/>
    <s v="Math_Subtraction"/>
    <n v="68.900000000000006"/>
    <s v="ASER_2018"/>
  </r>
  <r>
    <n v="2018"/>
    <x v="3"/>
    <s v="Grade 3"/>
    <s v="Math_Division"/>
    <n v="52.4"/>
    <s v="ASER_2018"/>
  </r>
  <r>
    <n v="2018"/>
    <x v="3"/>
    <s v="Grade 5"/>
    <s v="Math_Subtraction"/>
    <n v="87.6"/>
    <s v="ASER_2018"/>
  </r>
  <r>
    <n v="2018"/>
    <x v="3"/>
    <s v="Grade 5"/>
    <s v="Math_Division"/>
    <n v="51.5"/>
    <s v="ASER_2018"/>
  </r>
  <r>
    <n v="2018"/>
    <x v="4"/>
    <s v="Grade 3"/>
    <s v="Reading_Story"/>
    <n v="9.6"/>
    <s v="ASER_2018"/>
  </r>
  <r>
    <n v="2018"/>
    <x v="4"/>
    <s v="Grade 5"/>
    <s v="Reading_Story"/>
    <n v="29.4"/>
    <s v="ASER_2018"/>
  </r>
  <r>
    <n v="2018"/>
    <x v="4"/>
    <s v="Grade 3"/>
    <s v="Math_Subtraction"/>
    <n v="34.6"/>
    <s v="ASER_2018"/>
  </r>
  <r>
    <n v="2018"/>
    <x v="4"/>
    <s v="Grade 3"/>
    <s v="Math_Division"/>
    <n v="20.3"/>
    <s v="ASER_2018"/>
  </r>
  <r>
    <n v="2018"/>
    <x v="4"/>
    <s v="Grade 5"/>
    <s v="Math_Subtraction"/>
    <n v="49.2"/>
    <s v="ASER_2018"/>
  </r>
  <r>
    <n v="2018"/>
    <x v="4"/>
    <s v="Grade 5"/>
    <s v="Math_Division"/>
    <n v="15.6"/>
    <s v="ASER_2018"/>
  </r>
  <r>
    <n v="2018"/>
    <x v="5"/>
    <s v="Grade 3"/>
    <s v="Reading_Story"/>
    <n v="62.1"/>
    <s v="ASER_2018"/>
  </r>
  <r>
    <n v="2018"/>
    <x v="5"/>
    <s v="Grade 5"/>
    <s v="Reading_Story"/>
    <n v="73.099999999999994"/>
    <s v="ASER_2018"/>
  </r>
  <r>
    <n v="2018"/>
    <x v="5"/>
    <s v="Grade 3"/>
    <s v="Math_Subtraction"/>
    <n v="79.599999999999994"/>
    <s v="ASER_2018"/>
  </r>
  <r>
    <n v="2018"/>
    <x v="5"/>
    <s v="Grade 3"/>
    <s v="Math_Division"/>
    <n v="63.4"/>
    <s v="ASER_2018"/>
  </r>
  <r>
    <n v="2018"/>
    <x v="5"/>
    <s v="Grade 5"/>
    <s v="Math_Subtraction"/>
    <n v="92.1"/>
    <s v="ASER_2018"/>
  </r>
  <r>
    <n v="2018"/>
    <x v="5"/>
    <s v="Grade 5"/>
    <s v="Math_Division"/>
    <n v="33.5"/>
    <s v="ASER_2018"/>
  </r>
  <r>
    <n v="2018"/>
    <x v="6"/>
    <s v="Grade 3"/>
    <s v="Reading_Story"/>
    <n v="9.9"/>
    <s v="ASER_2018"/>
  </r>
  <r>
    <n v="2018"/>
    <x v="6"/>
    <s v="Grade 5"/>
    <s v="Reading_Story"/>
    <n v="34.4"/>
    <s v="ASER_2018"/>
  </r>
  <r>
    <n v="2018"/>
    <x v="6"/>
    <s v="Grade 3"/>
    <s v="Math_Subtraction"/>
    <n v="38.700000000000003"/>
    <s v="ASER_2018"/>
  </r>
  <r>
    <n v="2018"/>
    <x v="6"/>
    <s v="Grade 3"/>
    <s v="Math_Division"/>
    <n v="22.1"/>
    <s v="ASER_2018"/>
  </r>
  <r>
    <n v="2018"/>
    <x v="6"/>
    <s v="Grade 5"/>
    <s v="Math_Subtraction"/>
    <n v="52.3"/>
    <s v="ASER_2018"/>
  </r>
  <r>
    <n v="2018"/>
    <x v="6"/>
    <s v="Grade 5"/>
    <s v="Math_Division"/>
    <n v="16.5"/>
    <s v="ASER_2018"/>
  </r>
  <r>
    <n v="2018"/>
    <x v="7"/>
    <s v="Grade 3"/>
    <s v="Reading_Story"/>
    <n v="39.200000000000003"/>
    <s v="ASER_2018"/>
  </r>
  <r>
    <n v="2018"/>
    <x v="7"/>
    <s v="Grade 5"/>
    <s v="Reading_Story"/>
    <n v="66"/>
    <s v="ASER_2018"/>
  </r>
  <r>
    <n v="2018"/>
    <x v="7"/>
    <s v="Grade 3"/>
    <s v="Math_Subtraction"/>
    <n v="55.8"/>
    <s v="ASER_2018"/>
  </r>
  <r>
    <n v="2018"/>
    <x v="7"/>
    <s v="Grade 3"/>
    <s v="Math_Division"/>
    <n v="33.200000000000003"/>
    <s v="ASER_2018"/>
  </r>
  <r>
    <n v="2018"/>
    <x v="7"/>
    <s v="Grade 5"/>
    <s v="Math_Subtraction"/>
    <n v="69.7"/>
    <s v="ASER_2018"/>
  </r>
  <r>
    <n v="2018"/>
    <x v="7"/>
    <s v="Grade 5"/>
    <s v="Math_Division"/>
    <n v="31.7"/>
    <s v="ASER_2018"/>
  </r>
  <r>
    <n v="2018"/>
    <x v="8"/>
    <s v="Grade 3"/>
    <s v="Reading_Story"/>
    <n v="44.8"/>
    <s v="ASER_2018"/>
  </r>
  <r>
    <n v="2018"/>
    <x v="8"/>
    <s v="Grade 5"/>
    <s v="Reading_Story"/>
    <n v="68.7"/>
    <s v="ASER_2018"/>
  </r>
  <r>
    <n v="2018"/>
    <x v="8"/>
    <s v="Grade 3"/>
    <s v="Math_Subtraction"/>
    <n v="61.4"/>
    <s v="ASER_2018"/>
  </r>
  <r>
    <n v="2018"/>
    <x v="8"/>
    <s v="Grade 3"/>
    <s v="Math_Division"/>
    <n v="38.6"/>
    <s v="ASER_2018"/>
  </r>
  <r>
    <n v="2018"/>
    <x v="8"/>
    <s v="Grade 5"/>
    <s v="Math_Subtraction"/>
    <n v="79.5"/>
    <s v="ASER_2018"/>
  </r>
  <r>
    <n v="2018"/>
    <x v="8"/>
    <s v="Grade 5"/>
    <s v="Math_Division"/>
    <n v="50.1"/>
    <s v="ASER_2018"/>
  </r>
  <r>
    <n v="2018"/>
    <x v="9"/>
    <s v="Grade 3"/>
    <s v="Reading_Story"/>
    <n v="10.199999999999999"/>
    <s v="ASER_2018"/>
  </r>
  <r>
    <n v="2018"/>
    <x v="9"/>
    <s v="Grade 5"/>
    <s v="Reading_Story"/>
    <n v="39.1"/>
    <s v="ASER_2018"/>
  </r>
  <r>
    <n v="2018"/>
    <x v="9"/>
    <s v="Grade 3"/>
    <s v="Math_Subtraction"/>
    <n v="36.200000000000003"/>
    <s v="ASER_2018"/>
  </r>
  <r>
    <n v="2018"/>
    <x v="9"/>
    <s v="Grade 3"/>
    <s v="Math_Division"/>
    <n v="17.899999999999999"/>
    <s v="ASER_2018"/>
  </r>
  <r>
    <n v="2018"/>
    <x v="9"/>
    <s v="Grade 5"/>
    <s v="Math_Subtraction"/>
    <n v="54.6"/>
    <s v="ASER_2018"/>
  </r>
  <r>
    <n v="2018"/>
    <x v="9"/>
    <s v="Grade 5"/>
    <s v="Math_Division"/>
    <n v="14.1"/>
    <s v="ASER_2018"/>
  </r>
  <r>
    <n v="2018"/>
    <x v="10"/>
    <s v="Grade 3"/>
    <s v="Reading_Story"/>
    <n v="43.9"/>
    <s v="ASER_2018"/>
  </r>
  <r>
    <n v="2018"/>
    <x v="10"/>
    <s v="Grade 5"/>
    <s v="Reading_Story"/>
    <n v="46.3"/>
    <s v="ASER_2018"/>
  </r>
  <r>
    <n v="2018"/>
    <x v="10"/>
    <s v="Grade 3"/>
    <s v="Math_Subtraction"/>
    <n v="59.8"/>
    <s v="ASER_2018"/>
  </r>
  <r>
    <n v="2018"/>
    <x v="10"/>
    <s v="Grade 3"/>
    <s v="Math_Division"/>
    <n v="35.6"/>
    <s v="ASER_2018"/>
  </r>
  <r>
    <n v="2018"/>
    <x v="10"/>
    <s v="Grade 5"/>
    <s v="Math_Subtraction"/>
    <n v="74.2"/>
    <s v="ASER_2018"/>
  </r>
  <r>
    <n v="2018"/>
    <x v="10"/>
    <s v="Grade 5"/>
    <s v="Math_Division"/>
    <n v="27.1"/>
    <s v="ASER_2018"/>
  </r>
  <r>
    <n v="2018"/>
    <x v="11"/>
    <s v="Grade 3"/>
    <s v="Reading_Story"/>
    <n v="8.4"/>
    <s v="ASER_2018"/>
  </r>
  <r>
    <n v="2018"/>
    <x v="11"/>
    <s v="Grade 5"/>
    <s v="Reading_Story"/>
    <n v="36.200000000000003"/>
    <s v="ASER_2018"/>
  </r>
  <r>
    <n v="2018"/>
    <x v="11"/>
    <s v="Grade 3"/>
    <s v="Math_Subtraction"/>
    <n v="32.5"/>
    <s v="ASER_2018"/>
  </r>
  <r>
    <n v="2018"/>
    <x v="11"/>
    <s v="Grade 3"/>
    <s v="Math_Division"/>
    <n v="16.8"/>
    <s v="ASER_2018"/>
  </r>
  <r>
    <n v="2018"/>
    <x v="11"/>
    <s v="Grade 5"/>
    <s v="Math_Subtraction"/>
    <n v="49.7"/>
    <s v="ASER_2018"/>
  </r>
  <r>
    <n v="2018"/>
    <x v="11"/>
    <s v="Grade 5"/>
    <s v="Math_Division"/>
    <n v="17"/>
    <s v="ASER_2018"/>
  </r>
  <r>
    <n v="2018"/>
    <x v="12"/>
    <s v="Grade 3"/>
    <s v="Reading_Story"/>
    <n v="18.600000000000001"/>
    <s v="ASER_2018"/>
  </r>
  <r>
    <n v="2018"/>
    <x v="12"/>
    <s v="Grade 5"/>
    <s v="Reading_Story"/>
    <n v="50.5"/>
    <s v="ASER_2018"/>
  </r>
  <r>
    <n v="2018"/>
    <x v="12"/>
    <s v="Grade 3"/>
    <s v="Math_Subtraction"/>
    <n v="45.9"/>
    <s v="ASER_2018"/>
  </r>
  <r>
    <n v="2018"/>
    <x v="12"/>
    <s v="Grade 3"/>
    <s v="Math_Division"/>
    <n v="29.7"/>
    <s v="ASER_2018"/>
  </r>
  <r>
    <n v="2018"/>
    <x v="12"/>
    <s v="Grade 5"/>
    <s v="Math_Subtraction"/>
    <n v="63.2"/>
    <s v="ASER_2018"/>
  </r>
  <r>
    <n v="2018"/>
    <x v="12"/>
    <s v="Grade 5"/>
    <s v="Math_Division"/>
    <n v="29.2"/>
    <s v="ASER_2018"/>
  </r>
  <r>
    <n v="2022"/>
    <x v="0"/>
    <s v="Grade 5"/>
    <s v="Reading_Std2"/>
    <n v="38"/>
    <s v="ASER_2022"/>
  </r>
  <r>
    <n v="2022"/>
    <x v="0"/>
    <s v="Grade 5"/>
    <s v="Math_Division"/>
    <n v="28"/>
    <s v="ASER_2022"/>
  </r>
  <r>
    <n v="2022"/>
    <x v="2"/>
    <s v="Grade 5"/>
    <s v="Reading_Std2"/>
    <n v="55"/>
    <s v="ASER_2022"/>
  </r>
  <r>
    <n v="2022"/>
    <x v="2"/>
    <s v="Grade 5"/>
    <s v="Math_Division"/>
    <n v="38"/>
    <s v="ASER_2022"/>
  </r>
  <r>
    <n v="2022"/>
    <x v="5"/>
    <s v="Grade 5"/>
    <s v="Reading_Std2"/>
    <n v="74"/>
    <s v="ASER_2022"/>
  </r>
  <r>
    <n v="2022"/>
    <x v="5"/>
    <s v="Grade 5"/>
    <s v="Math_Division"/>
    <n v="68"/>
    <s v="ASER_2022"/>
  </r>
  <r>
    <n v="2022"/>
    <x v="3"/>
    <s v="Grade 5"/>
    <s v="Reading_Std2"/>
    <n v="70"/>
    <s v="ASER_2022"/>
  </r>
  <r>
    <n v="2022"/>
    <x v="3"/>
    <s v="Grade 5"/>
    <s v="Math_Division"/>
    <n v="55"/>
    <s v="ASER_2022"/>
  </r>
  <r>
    <n v="2022"/>
    <x v="7"/>
    <s v="Grade 5"/>
    <s v="Reading_Std2"/>
    <n v="60"/>
    <s v="ASER_2022"/>
  </r>
  <r>
    <n v="2022"/>
    <x v="7"/>
    <s v="Grade 5"/>
    <s v="Math_Division"/>
    <n v="40"/>
    <s v="ASER_2022"/>
  </r>
  <r>
    <n v="2022"/>
    <x v="11"/>
    <s v="Grade 5"/>
    <s v="Reading_Std2"/>
    <n v="40"/>
    <s v="ASER_2022"/>
  </r>
  <r>
    <n v="2022"/>
    <x v="11"/>
    <s v="Grade 5"/>
    <s v="Math_Division"/>
    <n v="25"/>
    <s v="ASER_2022"/>
  </r>
  <r>
    <n v="2022"/>
    <x v="8"/>
    <s v="Grade 5"/>
    <s v="Reading_Std2"/>
    <n v="72"/>
    <s v="ASER_2022"/>
  </r>
  <r>
    <n v="2022"/>
    <x v="8"/>
    <s v="Grade 5"/>
    <s v="Math_Division"/>
    <n v="50"/>
    <s v="ASER_2022"/>
  </r>
  <r>
    <n v="2022"/>
    <x v="9"/>
    <s v="Grade 5"/>
    <s v="Reading_Std2"/>
    <n v="45"/>
    <s v="ASER_2022"/>
  </r>
  <r>
    <n v="2022"/>
    <x v="9"/>
    <s v="Grade 5"/>
    <s v="Math_Division"/>
    <n v="30"/>
    <s v="ASER_2022"/>
  </r>
  <r>
    <n v="2022"/>
    <x v="10"/>
    <s v="Grade 5"/>
    <s v="Reading_Std2"/>
    <n v="65"/>
    <s v="ASER_2022"/>
  </r>
  <r>
    <n v="2022"/>
    <x v="10"/>
    <s v="Grade 5"/>
    <s v="Math_Division"/>
    <n v="45"/>
    <s v="ASER_2022"/>
  </r>
  <r>
    <n v="2022"/>
    <x v="12"/>
    <s v="Grade 5"/>
    <s v="Reading_Std2"/>
    <n v="55"/>
    <s v="ASER_2022"/>
  </r>
  <r>
    <n v="2022"/>
    <x v="12"/>
    <s v="Grade 5"/>
    <s v="Math_Division"/>
    <n v="35"/>
    <s v="ASER_2022"/>
  </r>
  <r>
    <n v="2022"/>
    <x v="6"/>
    <s v="Grade 5"/>
    <s v="Reading_Std2"/>
    <n v="40"/>
    <s v="ASER_2022"/>
  </r>
  <r>
    <n v="2022"/>
    <x v="6"/>
    <s v="Grade 5"/>
    <s v="Math_Division"/>
    <n v="28"/>
    <s v="ASER_2022"/>
  </r>
  <r>
    <n v="2022"/>
    <x v="4"/>
    <s v="Grade 5"/>
    <s v="Reading_Std2"/>
    <n v="38"/>
    <s v="ASER_2022"/>
  </r>
  <r>
    <n v="2022"/>
    <x v="4"/>
    <s v="Grade 5"/>
    <s v="Math_Division"/>
    <n v="25"/>
    <s v="ASER_2022"/>
  </r>
  <r>
    <n v="2022"/>
    <x v="1"/>
    <s v="Grade 5"/>
    <s v="Reading_Std2"/>
    <n v="52"/>
    <s v="ASER_2022"/>
  </r>
  <r>
    <n v="2022"/>
    <x v="1"/>
    <s v="Grade 5"/>
    <s v="Math_Division"/>
    <n v="34"/>
    <s v="ASER_2022"/>
  </r>
  <r>
    <n v="2024"/>
    <x v="0"/>
    <s v="Grade 5"/>
    <s v="Reading_Std2"/>
    <n v="42"/>
    <s v="ASER_2024"/>
  </r>
  <r>
    <n v="2024"/>
    <x v="0"/>
    <s v="Grade 5"/>
    <s v="Math_Division"/>
    <n v="30"/>
    <s v="ASER_2024"/>
  </r>
  <r>
    <n v="2024"/>
    <x v="2"/>
    <s v="Grade 5"/>
    <s v="Reading_Std2"/>
    <n v="60"/>
    <s v="ASER_2024"/>
  </r>
  <r>
    <n v="2024"/>
    <x v="2"/>
    <s v="Grade 5"/>
    <s v="Math_Division"/>
    <n v="42"/>
    <s v="ASER_2024"/>
  </r>
  <r>
    <n v="2024"/>
    <x v="5"/>
    <s v="Grade 5"/>
    <s v="Reading_Std2"/>
    <n v="78"/>
    <s v="ASER_2024"/>
  </r>
  <r>
    <n v="2024"/>
    <x v="5"/>
    <s v="Grade 5"/>
    <s v="Math_Division"/>
    <n v="70"/>
    <s v="ASER_2024"/>
  </r>
  <r>
    <n v="2024"/>
    <x v="3"/>
    <s v="Grade 5"/>
    <s v="Reading_Std2"/>
    <n v="74"/>
    <s v="ASER_2024"/>
  </r>
  <r>
    <n v="2024"/>
    <x v="3"/>
    <s v="Grade 5"/>
    <s v="Math_Division"/>
    <n v="58"/>
    <s v="ASER_2024"/>
  </r>
  <r>
    <n v="2024"/>
    <x v="7"/>
    <s v="Grade 5"/>
    <s v="Reading_Std2"/>
    <n v="65"/>
    <s v="ASER_2024"/>
  </r>
  <r>
    <n v="2024"/>
    <x v="7"/>
    <s v="Grade 5"/>
    <s v="Math_Division"/>
    <n v="45"/>
    <s v="ASER_2024"/>
  </r>
  <r>
    <n v="2024"/>
    <x v="11"/>
    <s v="Grade 5"/>
    <s v="Reading_Std2"/>
    <n v="44"/>
    <s v="ASER_2024"/>
  </r>
  <r>
    <n v="2024"/>
    <x v="11"/>
    <s v="Grade 5"/>
    <s v="Math_Division"/>
    <n v="28"/>
    <s v="ASER_2024"/>
  </r>
  <r>
    <n v="2024"/>
    <x v="8"/>
    <s v="Grade 5"/>
    <s v="Reading_Std2"/>
    <n v="75"/>
    <s v="ASER_2024"/>
  </r>
  <r>
    <n v="2024"/>
    <x v="8"/>
    <s v="Grade 5"/>
    <s v="Math_Division"/>
    <n v="55"/>
    <s v="ASER_2024"/>
  </r>
  <r>
    <n v="2024"/>
    <x v="9"/>
    <s v="Grade 5"/>
    <s v="Reading_Std2"/>
    <n v="48"/>
    <s v="ASER_2024"/>
  </r>
  <r>
    <n v="2024"/>
    <x v="9"/>
    <s v="Grade 5"/>
    <s v="Math_Division"/>
    <n v="32"/>
    <s v="ASER_2024"/>
  </r>
  <r>
    <n v="2024"/>
    <x v="10"/>
    <s v="Grade 5"/>
    <s v="Reading_Std2"/>
    <n v="68"/>
    <s v="ASER_2024"/>
  </r>
  <r>
    <n v="2024"/>
    <x v="10"/>
    <s v="Grade 5"/>
    <s v="Math_Division"/>
    <n v="48"/>
    <s v="ASER_2024"/>
  </r>
  <r>
    <n v="2024"/>
    <x v="12"/>
    <s v="Grade 5"/>
    <s v="Reading_Std2"/>
    <n v="58"/>
    <s v="ASER_2024"/>
  </r>
  <r>
    <n v="2024"/>
    <x v="12"/>
    <s v="Grade 5"/>
    <s v="Math_Division"/>
    <n v="38"/>
    <s v="ASER_2024"/>
  </r>
  <r>
    <n v="2024"/>
    <x v="6"/>
    <s v="Grade 5"/>
    <s v="Reading_Std2"/>
    <n v="43"/>
    <s v="ASER_2024"/>
  </r>
  <r>
    <n v="2024"/>
    <x v="6"/>
    <s v="Grade 5"/>
    <s v="Math_Division"/>
    <n v="30"/>
    <s v="ASER_2024"/>
  </r>
  <r>
    <n v="2024"/>
    <x v="4"/>
    <s v="Grade 5"/>
    <s v="Reading_Std2"/>
    <n v="40"/>
    <s v="ASER_2024"/>
  </r>
  <r>
    <n v="2024"/>
    <x v="4"/>
    <s v="Grade 5"/>
    <s v="Math_Division"/>
    <n v="28"/>
    <s v="ASER_2024"/>
  </r>
  <r>
    <n v="2024"/>
    <x v="1"/>
    <s v="Grade 5"/>
    <s v="Reading_Std2"/>
    <n v="55"/>
    <s v="ASER_2024"/>
  </r>
  <r>
    <n v="2024"/>
    <x v="1"/>
    <s v="Grade 5"/>
    <s v="Math_Division"/>
    <n v="36"/>
    <s v="ASER_2024"/>
  </r>
  <r>
    <n v="2024"/>
    <x v="13"/>
    <s v="Grade 3"/>
    <s v="Reading_Std2"/>
    <n v="27"/>
    <s v="ASER_2024"/>
  </r>
  <r>
    <n v="2024"/>
    <x v="13"/>
    <s v="Grade 3"/>
    <s v="Math_Subtraction"/>
    <n v="25"/>
    <s v="ASER_2024"/>
  </r>
  <r>
    <n v="2024"/>
    <x v="13"/>
    <s v="Grade 5"/>
    <s v="Reading_Std2"/>
    <n v="48"/>
    <s v="ASER_2024"/>
  </r>
  <r>
    <n v="2024"/>
    <x v="13"/>
    <s v="Grade 5"/>
    <s v="Math_Division"/>
    <n v="30"/>
    <s v="ASER_2024"/>
  </r>
  <r>
    <n v="2024"/>
    <x v="13"/>
    <s v="Grade 8"/>
    <s v="Reading_Std2"/>
    <n v="73"/>
    <s v="ASER_2024"/>
  </r>
  <r>
    <n v="2024"/>
    <x v="13"/>
    <s v="Grade 8"/>
    <s v="Math_Division"/>
    <n v="44"/>
    <s v="ASER_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7A61D-A8B2-4085-8E6B-32CAC019E1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6">
    <pivotField showAll="0"/>
    <pivotField axis="axisRow" showAll="0">
      <items count="15">
        <item x="0"/>
        <item x="1"/>
        <item x="2"/>
        <item x="3"/>
        <item x="13"/>
        <item x="4"/>
        <item x="5"/>
        <item x="6"/>
        <item x="7"/>
        <item x="8"/>
        <item x="9"/>
        <item x="10"/>
        <item x="11"/>
        <item x="12"/>
        <item t="default"/>
      </items>
    </pivotField>
    <pivotField showAll="0"/>
    <pivotField showAll="0"/>
    <pivotField dataField="1"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Average of Percentag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449814C-3182-4406-8B8A-8B832795A470}" sourceName="St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5F60754D-878C-4C5F-80B2-79D13DBEE018}" sourceName="Grad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6B97ED5B-91E5-47D6-9C4D-8E3CCA34F3E0}" sourceName="Level">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4F522376-06E5-43AF-B9D5-D18A966832E2}" sourceName="State">
  <extLst>
    <x:ext xmlns:x15="http://schemas.microsoft.com/office/spreadsheetml/2010/11/main" uri="{2F2917AC-EB37-4324-AD4E-5DD8C200BD13}">
      <x15:tableSlicerCache tableId="2"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A15CDEFB-24E9-40F0-9782-88950FBB5FD4}" sourceName="Grade">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 xr10:uid="{9239D94F-282C-4173-BBC7-7F6AB78C1DFE}" sourceName="Level">
  <extLst>
    <x:ext xmlns:x15="http://schemas.microsoft.com/office/spreadsheetml/2010/11/main" uri="{2F2917AC-EB37-4324-AD4E-5DD8C200BD13}">
      <x15:tableSlicerCache tableId="2"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F808CD5C-09F8-49B7-B5E0-F4C6961E533A}" sourceName="State">
  <extLst>
    <x:ext xmlns:x15="http://schemas.microsoft.com/office/spreadsheetml/2010/11/main" uri="{2F2917AC-EB37-4324-AD4E-5DD8C200BD13}">
      <x15:tableSlicerCache tableId="3"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2" xr10:uid="{CB7C2CF6-4030-475E-A16C-04051F9ABE08}" sourceName="Grade">
  <extLst>
    <x:ext xmlns:x15="http://schemas.microsoft.com/office/spreadsheetml/2010/11/main" uri="{2F2917AC-EB37-4324-AD4E-5DD8C200BD13}">
      <x15:tableSlicerCache tableId="3"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2" xr10:uid="{6B102DD8-65DC-46FD-8430-2ADBC63010DB}" sourceName="Level">
  <extLst>
    <x:ext xmlns:x15="http://schemas.microsoft.com/office/spreadsheetml/2010/11/main" uri="{2F2917AC-EB37-4324-AD4E-5DD8C200BD13}">
      <x15:tableSlicerCache tableId="3" column="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E9B7B30B-6E0B-4E8B-8217-0CCB07B0E8BF}" sourceName="State">
  <extLst>
    <x:ext xmlns:x15="http://schemas.microsoft.com/office/spreadsheetml/2010/11/main" uri="{2F2917AC-EB37-4324-AD4E-5DD8C200BD13}">
      <x15:tableSlicerCache tableId="4" column="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C6E36693-9A7F-418F-8B47-0D147E03FEBA}" sourceName="Skill">
  <extLst>
    <x:ext xmlns:x15="http://schemas.microsoft.com/office/spreadsheetml/2010/11/main" uri="{2F2917AC-EB37-4324-AD4E-5DD8C200BD13}">
      <x15:tableSlicerCache tableId="4" column="4"/>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4" xr10:uid="{55855441-E7EE-44F7-A452-3AE85C18DC1F}" sourceName="State">
  <extLst>
    <x:ext xmlns:x15="http://schemas.microsoft.com/office/spreadsheetml/2010/11/main" uri="{2F2917AC-EB37-4324-AD4E-5DD8C200BD13}">
      <x15:tableSlicerCache tableId="5" column="2"/>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1" xr10:uid="{F251EA3D-8868-45A5-80EF-33AADE6D227A}" sourceName="Skill">
  <extLst>
    <x:ext xmlns:x15="http://schemas.microsoft.com/office/spreadsheetml/2010/11/main" uri="{2F2917AC-EB37-4324-AD4E-5DD8C200BD13}">
      <x15:tableSlicerCache tableId="5"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7D0B208-3B04-443C-9A41-8ECCDBC0D0B5}" cache="Slicer_State" caption="State" rowHeight="241300"/>
  <slicer name="Grade" xr10:uid="{0309E1C8-06C2-4809-9D7F-34AF9F4E4030}" cache="Slicer_Grade" caption="Grade" rowHeight="241300"/>
  <slicer name="Level" xr10:uid="{2FE240A7-FF61-4257-8AAC-4AD345FB5FBB}" cache="Slicer_Level" caption="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F5E908E-C8B4-4AB7-A6DD-2E8E7DB7E272}" cache="Slicer_State1" caption="State" rowHeight="241300"/>
  <slicer name="Grade 1" xr10:uid="{9A2D1E0F-3805-40FD-8056-690ECEEDDC35}" cache="Slicer_Grade1" caption="Grade" rowHeight="241300"/>
  <slicer name="Level 1" xr10:uid="{AEB9C043-7CAF-4620-9702-2B185C377D93}" cache="Slicer_Level1" caption="Level"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5889D6F7-B7CC-4784-AF2A-8853BC26B278}" cache="Slicer_State2" caption="State" rowHeight="241300"/>
  <slicer name="Grade 2" xr10:uid="{92091D59-CC94-4FB9-AF55-888628BCFA43}" cache="Slicer_Grade2" caption="Grade" rowHeight="241300"/>
  <slicer name="Level 2" xr10:uid="{B6EAF030-78B2-4A8D-966E-FDED95FF7F69}" cache="Slicer_Level2" caption="Leve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EC7A07AE-3DC7-4F9E-9326-6611DB40316A}" cache="Slicer_State3" caption="State" rowHeight="241300"/>
  <slicer name="Skill" xr10:uid="{B6943AA9-99FB-4BED-B7F3-8D03F17DF914}" cache="Slicer_Skill" caption="Skill"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4" xr10:uid="{B7547042-BDA7-45B8-A2A9-928A242AB452}" cache="Slicer_State4" caption="State" rowHeight="241300"/>
  <slicer name="Skill 1" xr10:uid="{979B23FB-5378-436D-A725-91BCC7A74AA2}" cache="Slicer_Skill1" caption="Skil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E3A14C-63F8-40C3-BB06-7A0CDAE4D322}" name="Table7" displayName="Table7" ref="A1:F293" totalsRowShown="0" headerRowDxfId="1">
  <autoFilter ref="A1:F293" xr:uid="{CEE3A14C-63F8-40C3-BB06-7A0CDAE4D322}"/>
  <tableColumns count="6">
    <tableColumn id="1" xr3:uid="{2B708BB4-B973-403A-9A97-D0851250746A}" name="Year"/>
    <tableColumn id="2" xr3:uid="{5A3C07AE-582A-4134-9106-6DC1D359AC17}" name="State"/>
    <tableColumn id="3" xr3:uid="{BC1B93F6-BBA0-4FF7-A263-6D0126298EEE}" name="Grade"/>
    <tableColumn id="4" xr3:uid="{2381A8BE-7175-4C01-8869-C4CC93B31C46}" name="Skill"/>
    <tableColumn id="5" xr3:uid="{5B9123B9-AFFC-4582-B45A-D4A3D53A4686}" name="Percentage"/>
    <tableColumn id="6" xr3:uid="{72D371FB-C8C2-4980-A0D1-3CC983E98FD5}"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DAABA7-096C-4953-A807-6CB5E7779A7E}" name="Table1" displayName="Table1" ref="A1:F131" totalsRowShown="0" headerRowDxfId="0">
  <autoFilter ref="A1:F131" xr:uid="{A1DAABA7-096C-4953-A807-6CB5E7779A7E}"/>
  <tableColumns count="6">
    <tableColumn id="1" xr3:uid="{EF1384B3-72CB-4FA1-8EA2-C3C822728079}" name="Year"/>
    <tableColumn id="2" xr3:uid="{E2885038-718C-4346-912B-0BB427EAE6FE}" name="State"/>
    <tableColumn id="3" xr3:uid="{3EBFBDD1-CB99-41BC-A62D-53F3E646EAE6}" name="Grade"/>
    <tableColumn id="4" xr3:uid="{C128AB81-FA1E-4AD1-B702-025552CB36C7}" name="Subject"/>
    <tableColumn id="5" xr3:uid="{DD40B2C5-2738-4F79-A0E0-5DE3E8B1DFE6}" name="Level"/>
    <tableColumn id="6" xr3:uid="{A3506419-6133-4A09-B5C2-B39B30D5C780}" name="Percent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6E0438-6141-45CC-804D-17943B9F2ED1}" name="Table2" displayName="Table2" ref="A1:F131" totalsRowShown="0">
  <autoFilter ref="A1:F131" xr:uid="{406E0438-6141-45CC-804D-17943B9F2ED1}">
    <filterColumn colId="1">
      <filters>
        <filter val="Bihar"/>
      </filters>
    </filterColumn>
  </autoFilter>
  <tableColumns count="6">
    <tableColumn id="1" xr3:uid="{BD066D21-58B9-4F7D-94B4-61017AF8D803}" name="Year"/>
    <tableColumn id="2" xr3:uid="{30614D43-2565-4FF8-A5C9-B5F7B1CF664E}" name="State"/>
    <tableColumn id="3" xr3:uid="{6282767D-D1B8-4194-B92A-30FB413BF92F}" name="Grade"/>
    <tableColumn id="4" xr3:uid="{812BFFCA-3E02-41AA-BA70-6C3412E78E5D}" name="Subject"/>
    <tableColumn id="5" xr3:uid="{ED1CC4C1-71DA-4BDA-BC08-B547481BA45D}" name="Level"/>
    <tableColumn id="6" xr3:uid="{6C07F297-4611-470F-A64E-6BB5CABFC943}" name="Percentage"/>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201A88-6689-4D24-941C-7A29BDDCFEB8}" name="Table3" displayName="Table3" ref="A1:F131" totalsRowShown="0">
  <autoFilter ref="A1:F131" xr:uid="{59201A88-6689-4D24-941C-7A29BDDCFEB8}"/>
  <tableColumns count="6">
    <tableColumn id="1" xr3:uid="{5B326B86-FE29-4F28-AB1B-8FCC5A3512CB}" name="Year"/>
    <tableColumn id="2" xr3:uid="{50E36F79-CF93-4752-A695-54A099A8DBBE}" name="State"/>
    <tableColumn id="3" xr3:uid="{B3B774F3-04EB-430E-A95C-91B5731048D3}" name="Grade"/>
    <tableColumn id="4" xr3:uid="{C7826D24-E899-4D8B-A816-61F0DD613154}" name="Subject"/>
    <tableColumn id="5" xr3:uid="{01A22F69-CCB3-49A9-85EB-39E25A207C87}" name="Level"/>
    <tableColumn id="6" xr3:uid="{8B220D49-09CF-4525-8DCE-E7D48439E318}" name="Percentage"/>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58E37C-CD07-44BA-A25E-B986EE9FA3B9}" name="Table4" displayName="Table4" ref="A1:E27" totalsRowShown="0">
  <autoFilter ref="A1:E27" xr:uid="{1258E37C-CD07-44BA-A25E-B986EE9FA3B9}"/>
  <tableColumns count="5">
    <tableColumn id="1" xr3:uid="{17FDCF0D-A22B-40C4-9839-E39D0560CF39}" name="Year"/>
    <tableColumn id="2" xr3:uid="{946DC4DA-8D6B-49C6-964B-1B0D122A9124}" name="State"/>
    <tableColumn id="3" xr3:uid="{1BE2E70A-68E3-4680-BE2A-7598B274EC19}" name="Grade"/>
    <tableColumn id="4" xr3:uid="{6956BC5E-A3A7-4D62-B05A-2F1BF23E3B3C}" name="Skill"/>
    <tableColumn id="5" xr3:uid="{9033989F-0645-4359-B9F7-D48F7295B503}" name="Percentag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3EC5DE-8A02-4559-A9FD-7B595FF65408}" name="Table5" displayName="Table5" ref="A1:E27" totalsRowShown="0">
  <autoFilter ref="A1:E27" xr:uid="{F33EC5DE-8A02-4559-A9FD-7B595FF65408}"/>
  <tableColumns count="5">
    <tableColumn id="1" xr3:uid="{FC80A6FC-E345-4EF9-9D53-494C99CA7FE9}" name="Year"/>
    <tableColumn id="2" xr3:uid="{E602AF15-EFDA-4B9C-89A1-572A11EB72D0}" name="State"/>
    <tableColumn id="3" xr3:uid="{690DD532-F3F9-4B42-AE4E-2E39D9EB9A53}" name="Grade"/>
    <tableColumn id="4" xr3:uid="{255A9E1E-88ED-4111-A999-C84C0E73E177}" name="Skill"/>
    <tableColumn id="5" xr3:uid="{4310A868-5ED4-4ACF-8AF6-7DC6566EB77F}" name="Percentage"/>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0986A8-A265-4BE4-81CF-C67D6DFFB5F3}" name="Table6" displayName="Table6" ref="A1:E7" totalsRowShown="0">
  <autoFilter ref="A1:E7" xr:uid="{060986A8-A265-4BE4-81CF-C67D6DFFB5F3}"/>
  <tableColumns count="5">
    <tableColumn id="1" xr3:uid="{ECD126E7-E1C3-4CA1-A9D2-28B67428FE5B}" name="Year"/>
    <tableColumn id="2" xr3:uid="{C81E3E2E-F9D9-4CB7-9B61-2FF8291ABFB3}" name="Nation"/>
    <tableColumn id="3" xr3:uid="{E282DDB6-5BC1-48D0-A4CB-923649BFB13D}" name="Grade"/>
    <tableColumn id="4" xr3:uid="{050A3624-BB9F-456F-A1D9-30DB58BBA29C}" name="Skill"/>
    <tableColumn id="5" xr3:uid="{44934937-0FC4-4E1B-BBAE-623E06658ADF}" name="Percentage"/>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5.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6.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F9EA-DA2B-47DE-86B8-C5FFC56828A1}">
  <dimension ref="A1:F293"/>
  <sheetViews>
    <sheetView tabSelected="1" workbookViewId="0">
      <pane ySplit="1" topLeftCell="A23" activePane="bottomLeft" state="frozen"/>
      <selection pane="bottomLeft" activeCell="H20" sqref="H20"/>
    </sheetView>
  </sheetViews>
  <sheetFormatPr defaultRowHeight="14.5" x14ac:dyDescent="0.35"/>
  <cols>
    <col min="2" max="2" width="19.26953125" customWidth="1"/>
    <col min="3" max="3" width="18.6328125" customWidth="1"/>
    <col min="4" max="4" width="22" customWidth="1"/>
    <col min="5" max="5" width="24" customWidth="1"/>
    <col min="6" max="6" width="18.36328125" customWidth="1"/>
  </cols>
  <sheetData>
    <row r="1" spans="1:6" x14ac:dyDescent="0.35">
      <c r="A1" s="1" t="s">
        <v>0</v>
      </c>
      <c r="B1" s="1" t="s">
        <v>1</v>
      </c>
      <c r="C1" s="1" t="s">
        <v>2</v>
      </c>
      <c r="D1" s="1" t="s">
        <v>30</v>
      </c>
      <c r="E1" s="1" t="s">
        <v>5</v>
      </c>
      <c r="F1" s="1" t="s">
        <v>46</v>
      </c>
    </row>
    <row r="2" spans="1:6" x14ac:dyDescent="0.35">
      <c r="A2">
        <v>2014</v>
      </c>
      <c r="B2" t="s">
        <v>6</v>
      </c>
      <c r="C2" t="s">
        <v>7</v>
      </c>
      <c r="D2" t="s">
        <v>47</v>
      </c>
      <c r="E2">
        <v>10.4</v>
      </c>
      <c r="F2" t="s">
        <v>48</v>
      </c>
    </row>
    <row r="3" spans="1:6" x14ac:dyDescent="0.35">
      <c r="A3">
        <v>2014</v>
      </c>
      <c r="B3" t="s">
        <v>6</v>
      </c>
      <c r="C3" t="s">
        <v>13</v>
      </c>
      <c r="D3" t="s">
        <v>47</v>
      </c>
      <c r="E3">
        <v>33.299999999999997</v>
      </c>
      <c r="F3" t="s">
        <v>48</v>
      </c>
    </row>
    <row r="4" spans="1:6" x14ac:dyDescent="0.35">
      <c r="A4">
        <v>2014</v>
      </c>
      <c r="B4" t="s">
        <v>6</v>
      </c>
      <c r="C4" t="s">
        <v>7</v>
      </c>
      <c r="D4" t="s">
        <v>34</v>
      </c>
      <c r="E4">
        <v>26.8</v>
      </c>
      <c r="F4" t="s">
        <v>48</v>
      </c>
    </row>
    <row r="5" spans="1:6" x14ac:dyDescent="0.35">
      <c r="A5">
        <v>2014</v>
      </c>
      <c r="B5" t="s">
        <v>6</v>
      </c>
      <c r="C5" t="s">
        <v>7</v>
      </c>
      <c r="D5" t="s">
        <v>32</v>
      </c>
      <c r="E5">
        <v>14.1</v>
      </c>
      <c r="F5" t="s">
        <v>48</v>
      </c>
    </row>
    <row r="6" spans="1:6" x14ac:dyDescent="0.35">
      <c r="A6">
        <v>2014</v>
      </c>
      <c r="B6" t="s">
        <v>6</v>
      </c>
      <c r="C6" t="s">
        <v>13</v>
      </c>
      <c r="D6" t="s">
        <v>34</v>
      </c>
      <c r="E6">
        <v>46.8</v>
      </c>
      <c r="F6" t="s">
        <v>48</v>
      </c>
    </row>
    <row r="7" spans="1:6" x14ac:dyDescent="0.35">
      <c r="A7">
        <v>2014</v>
      </c>
      <c r="B7" t="s">
        <v>6</v>
      </c>
      <c r="C7" t="s">
        <v>13</v>
      </c>
      <c r="D7" t="s">
        <v>32</v>
      </c>
      <c r="E7">
        <v>28.8</v>
      </c>
      <c r="F7" t="s">
        <v>48</v>
      </c>
    </row>
    <row r="8" spans="1:6" x14ac:dyDescent="0.35">
      <c r="A8">
        <v>2014</v>
      </c>
      <c r="B8" t="s">
        <v>18</v>
      </c>
      <c r="C8" t="s">
        <v>7</v>
      </c>
      <c r="D8" t="s">
        <v>47</v>
      </c>
      <c r="E8">
        <v>11.3</v>
      </c>
      <c r="F8" t="s">
        <v>48</v>
      </c>
    </row>
    <row r="9" spans="1:6" x14ac:dyDescent="0.35">
      <c r="A9">
        <v>2014</v>
      </c>
      <c r="B9" t="s">
        <v>18</v>
      </c>
      <c r="C9" t="s">
        <v>13</v>
      </c>
      <c r="D9" t="s">
        <v>47</v>
      </c>
      <c r="E9">
        <v>43.5</v>
      </c>
      <c r="F9" t="s">
        <v>48</v>
      </c>
    </row>
    <row r="10" spans="1:6" x14ac:dyDescent="0.35">
      <c r="A10">
        <v>2014</v>
      </c>
      <c r="B10" t="s">
        <v>18</v>
      </c>
      <c r="C10" t="s">
        <v>7</v>
      </c>
      <c r="D10" t="s">
        <v>34</v>
      </c>
      <c r="E10">
        <v>42.5</v>
      </c>
      <c r="F10" t="s">
        <v>48</v>
      </c>
    </row>
    <row r="11" spans="1:6" x14ac:dyDescent="0.35">
      <c r="A11">
        <v>2014</v>
      </c>
      <c r="B11" t="s">
        <v>18</v>
      </c>
      <c r="C11" t="s">
        <v>7</v>
      </c>
      <c r="D11" t="s">
        <v>32</v>
      </c>
      <c r="E11">
        <v>24.3</v>
      </c>
      <c r="F11" t="s">
        <v>48</v>
      </c>
    </row>
    <row r="12" spans="1:6" x14ac:dyDescent="0.35">
      <c r="A12">
        <v>2014</v>
      </c>
      <c r="B12" t="s">
        <v>18</v>
      </c>
      <c r="C12" t="s">
        <v>13</v>
      </c>
      <c r="D12" t="s">
        <v>34</v>
      </c>
      <c r="E12">
        <v>66.7</v>
      </c>
      <c r="F12" t="s">
        <v>48</v>
      </c>
    </row>
    <row r="13" spans="1:6" x14ac:dyDescent="0.35">
      <c r="A13">
        <v>2014</v>
      </c>
      <c r="B13" t="s">
        <v>18</v>
      </c>
      <c r="C13" t="s">
        <v>13</v>
      </c>
      <c r="D13" t="s">
        <v>32</v>
      </c>
      <c r="E13">
        <v>41.6</v>
      </c>
      <c r="F13" t="s">
        <v>48</v>
      </c>
    </row>
    <row r="14" spans="1:6" x14ac:dyDescent="0.35">
      <c r="A14">
        <v>2014</v>
      </c>
      <c r="B14" t="s">
        <v>19</v>
      </c>
      <c r="C14" t="s">
        <v>7</v>
      </c>
      <c r="D14" t="s">
        <v>47</v>
      </c>
      <c r="E14">
        <v>15.7</v>
      </c>
      <c r="F14" t="s">
        <v>48</v>
      </c>
    </row>
    <row r="15" spans="1:6" x14ac:dyDescent="0.35">
      <c r="A15">
        <v>2014</v>
      </c>
      <c r="B15" t="s">
        <v>19</v>
      </c>
      <c r="C15" t="s">
        <v>13</v>
      </c>
      <c r="D15" t="s">
        <v>47</v>
      </c>
      <c r="E15">
        <v>48.2</v>
      </c>
      <c r="F15" t="s">
        <v>48</v>
      </c>
    </row>
    <row r="16" spans="1:6" x14ac:dyDescent="0.35">
      <c r="A16">
        <v>2014</v>
      </c>
      <c r="B16" t="s">
        <v>19</v>
      </c>
      <c r="C16" t="s">
        <v>7</v>
      </c>
      <c r="D16" t="s">
        <v>34</v>
      </c>
      <c r="E16">
        <v>54.7</v>
      </c>
      <c r="F16" t="s">
        <v>48</v>
      </c>
    </row>
    <row r="17" spans="1:6" x14ac:dyDescent="0.35">
      <c r="A17">
        <v>2014</v>
      </c>
      <c r="B17" t="s">
        <v>19</v>
      </c>
      <c r="C17" t="s">
        <v>7</v>
      </c>
      <c r="D17" t="s">
        <v>32</v>
      </c>
      <c r="E17">
        <v>26.7</v>
      </c>
      <c r="F17" t="s">
        <v>48</v>
      </c>
    </row>
    <row r="18" spans="1:6" x14ac:dyDescent="0.35">
      <c r="A18">
        <v>2014</v>
      </c>
      <c r="B18" t="s">
        <v>19</v>
      </c>
      <c r="C18" t="s">
        <v>13</v>
      </c>
      <c r="D18" t="s">
        <v>34</v>
      </c>
      <c r="E18">
        <v>72.099999999999994</v>
      </c>
      <c r="F18" t="s">
        <v>48</v>
      </c>
    </row>
    <row r="19" spans="1:6" x14ac:dyDescent="0.35">
      <c r="A19">
        <v>2014</v>
      </c>
      <c r="B19" t="s">
        <v>19</v>
      </c>
      <c r="C19" t="s">
        <v>13</v>
      </c>
      <c r="D19" t="s">
        <v>32</v>
      </c>
      <c r="E19">
        <v>44.6</v>
      </c>
      <c r="F19" t="s">
        <v>48</v>
      </c>
    </row>
    <row r="20" spans="1:6" x14ac:dyDescent="0.35">
      <c r="A20">
        <v>2014</v>
      </c>
      <c r="B20" t="s">
        <v>20</v>
      </c>
      <c r="C20" t="s">
        <v>7</v>
      </c>
      <c r="D20" t="s">
        <v>47</v>
      </c>
      <c r="E20">
        <v>33.6</v>
      </c>
      <c r="F20" t="s">
        <v>48</v>
      </c>
    </row>
    <row r="21" spans="1:6" x14ac:dyDescent="0.35">
      <c r="A21">
        <v>2014</v>
      </c>
      <c r="B21" t="s">
        <v>20</v>
      </c>
      <c r="C21" t="s">
        <v>13</v>
      </c>
      <c r="D21" t="s">
        <v>47</v>
      </c>
      <c r="E21">
        <v>67.400000000000006</v>
      </c>
      <c r="F21" t="s">
        <v>48</v>
      </c>
    </row>
    <row r="22" spans="1:6" x14ac:dyDescent="0.35">
      <c r="A22">
        <v>2014</v>
      </c>
      <c r="B22" t="s">
        <v>20</v>
      </c>
      <c r="C22" t="s">
        <v>7</v>
      </c>
      <c r="D22" t="s">
        <v>34</v>
      </c>
      <c r="E22">
        <v>63.7</v>
      </c>
      <c r="F22" t="s">
        <v>48</v>
      </c>
    </row>
    <row r="23" spans="1:6" x14ac:dyDescent="0.35">
      <c r="A23">
        <v>2014</v>
      </c>
      <c r="B23" t="s">
        <v>20</v>
      </c>
      <c r="C23" t="s">
        <v>7</v>
      </c>
      <c r="D23" t="s">
        <v>32</v>
      </c>
      <c r="E23">
        <v>46.8</v>
      </c>
      <c r="F23" t="s">
        <v>48</v>
      </c>
    </row>
    <row r="24" spans="1:6" x14ac:dyDescent="0.35">
      <c r="A24">
        <v>2014</v>
      </c>
      <c r="B24" t="s">
        <v>20</v>
      </c>
      <c r="C24" t="s">
        <v>13</v>
      </c>
      <c r="D24" t="s">
        <v>34</v>
      </c>
      <c r="E24">
        <v>84.7</v>
      </c>
      <c r="F24" t="s">
        <v>48</v>
      </c>
    </row>
    <row r="25" spans="1:6" x14ac:dyDescent="0.35">
      <c r="A25">
        <v>2014</v>
      </c>
      <c r="B25" t="s">
        <v>20</v>
      </c>
      <c r="C25" t="s">
        <v>13</v>
      </c>
      <c r="D25" t="s">
        <v>32</v>
      </c>
      <c r="E25">
        <v>69.400000000000006</v>
      </c>
      <c r="F25" t="s">
        <v>48</v>
      </c>
    </row>
    <row r="26" spans="1:6" x14ac:dyDescent="0.35">
      <c r="A26">
        <v>2014</v>
      </c>
      <c r="B26" t="s">
        <v>21</v>
      </c>
      <c r="C26" t="s">
        <v>7</v>
      </c>
      <c r="D26" t="s">
        <v>47</v>
      </c>
      <c r="E26">
        <v>12.4</v>
      </c>
      <c r="F26" t="s">
        <v>48</v>
      </c>
    </row>
    <row r="27" spans="1:6" x14ac:dyDescent="0.35">
      <c r="A27">
        <v>2014</v>
      </c>
      <c r="B27" t="s">
        <v>21</v>
      </c>
      <c r="C27" t="s">
        <v>13</v>
      </c>
      <c r="D27" t="s">
        <v>47</v>
      </c>
      <c r="E27">
        <v>39.6</v>
      </c>
      <c r="F27" t="s">
        <v>48</v>
      </c>
    </row>
    <row r="28" spans="1:6" x14ac:dyDescent="0.35">
      <c r="A28">
        <v>2014</v>
      </c>
      <c r="B28" t="s">
        <v>21</v>
      </c>
      <c r="C28" t="s">
        <v>7</v>
      </c>
      <c r="D28" t="s">
        <v>34</v>
      </c>
      <c r="E28">
        <v>39.5</v>
      </c>
      <c r="F28" t="s">
        <v>48</v>
      </c>
    </row>
    <row r="29" spans="1:6" x14ac:dyDescent="0.35">
      <c r="A29">
        <v>2014</v>
      </c>
      <c r="B29" t="s">
        <v>21</v>
      </c>
      <c r="C29" t="s">
        <v>7</v>
      </c>
      <c r="D29" t="s">
        <v>32</v>
      </c>
      <c r="E29">
        <v>20.7</v>
      </c>
      <c r="F29" t="s">
        <v>48</v>
      </c>
    </row>
    <row r="30" spans="1:6" x14ac:dyDescent="0.35">
      <c r="A30">
        <v>2014</v>
      </c>
      <c r="B30" t="s">
        <v>21</v>
      </c>
      <c r="C30" t="s">
        <v>13</v>
      </c>
      <c r="D30" t="s">
        <v>34</v>
      </c>
      <c r="E30">
        <v>59.1</v>
      </c>
      <c r="F30" t="s">
        <v>48</v>
      </c>
    </row>
    <row r="31" spans="1:6" x14ac:dyDescent="0.35">
      <c r="A31">
        <v>2014</v>
      </c>
      <c r="B31" t="s">
        <v>21</v>
      </c>
      <c r="C31" t="s">
        <v>13</v>
      </c>
      <c r="D31" t="s">
        <v>32</v>
      </c>
      <c r="E31">
        <v>34.4</v>
      </c>
      <c r="F31" t="s">
        <v>48</v>
      </c>
    </row>
    <row r="32" spans="1:6" x14ac:dyDescent="0.35">
      <c r="A32">
        <v>2014</v>
      </c>
      <c r="B32" t="s">
        <v>22</v>
      </c>
      <c r="C32" t="s">
        <v>7</v>
      </c>
      <c r="D32" t="s">
        <v>47</v>
      </c>
      <c r="E32">
        <v>56.4</v>
      </c>
      <c r="F32" t="s">
        <v>48</v>
      </c>
    </row>
    <row r="33" spans="1:6" x14ac:dyDescent="0.35">
      <c r="A33">
        <v>2014</v>
      </c>
      <c r="B33" t="s">
        <v>22</v>
      </c>
      <c r="C33" t="s">
        <v>13</v>
      </c>
      <c r="D33" t="s">
        <v>47</v>
      </c>
      <c r="E33">
        <v>84.2</v>
      </c>
      <c r="F33" t="s">
        <v>48</v>
      </c>
    </row>
    <row r="34" spans="1:6" x14ac:dyDescent="0.35">
      <c r="A34">
        <v>2014</v>
      </c>
      <c r="B34" t="s">
        <v>22</v>
      </c>
      <c r="C34" t="s">
        <v>7</v>
      </c>
      <c r="D34" t="s">
        <v>34</v>
      </c>
      <c r="E34">
        <v>75.599999999999994</v>
      </c>
      <c r="F34" t="s">
        <v>48</v>
      </c>
    </row>
    <row r="35" spans="1:6" x14ac:dyDescent="0.35">
      <c r="A35">
        <v>2014</v>
      </c>
      <c r="B35" t="s">
        <v>22</v>
      </c>
      <c r="C35" t="s">
        <v>7</v>
      </c>
      <c r="D35" t="s">
        <v>32</v>
      </c>
      <c r="E35">
        <v>61.3</v>
      </c>
      <c r="F35" t="s">
        <v>48</v>
      </c>
    </row>
    <row r="36" spans="1:6" x14ac:dyDescent="0.35">
      <c r="A36">
        <v>2014</v>
      </c>
      <c r="B36" t="s">
        <v>22</v>
      </c>
      <c r="C36" t="s">
        <v>13</v>
      </c>
      <c r="D36" t="s">
        <v>34</v>
      </c>
      <c r="E36">
        <v>90.8</v>
      </c>
      <c r="F36" t="s">
        <v>48</v>
      </c>
    </row>
    <row r="37" spans="1:6" x14ac:dyDescent="0.35">
      <c r="A37">
        <v>2014</v>
      </c>
      <c r="B37" t="s">
        <v>22</v>
      </c>
      <c r="C37" t="s">
        <v>13</v>
      </c>
      <c r="D37" t="s">
        <v>32</v>
      </c>
      <c r="E37">
        <v>82.1</v>
      </c>
      <c r="F37" t="s">
        <v>48</v>
      </c>
    </row>
    <row r="38" spans="1:6" x14ac:dyDescent="0.35">
      <c r="A38">
        <v>2014</v>
      </c>
      <c r="B38" t="s">
        <v>23</v>
      </c>
      <c r="C38" t="s">
        <v>7</v>
      </c>
      <c r="D38" t="s">
        <v>47</v>
      </c>
      <c r="E38">
        <v>11.4</v>
      </c>
      <c r="F38" t="s">
        <v>48</v>
      </c>
    </row>
    <row r="39" spans="1:6" x14ac:dyDescent="0.35">
      <c r="A39">
        <v>2014</v>
      </c>
      <c r="B39" t="s">
        <v>23</v>
      </c>
      <c r="C39" t="s">
        <v>13</v>
      </c>
      <c r="D39" t="s">
        <v>47</v>
      </c>
      <c r="E39">
        <v>35.200000000000003</v>
      </c>
      <c r="F39" t="s">
        <v>48</v>
      </c>
    </row>
    <row r="40" spans="1:6" x14ac:dyDescent="0.35">
      <c r="A40">
        <v>2014</v>
      </c>
      <c r="B40" t="s">
        <v>23</v>
      </c>
      <c r="C40" t="s">
        <v>7</v>
      </c>
      <c r="D40" t="s">
        <v>34</v>
      </c>
      <c r="E40">
        <v>41.3</v>
      </c>
      <c r="F40" t="s">
        <v>48</v>
      </c>
    </row>
    <row r="41" spans="1:6" x14ac:dyDescent="0.35">
      <c r="A41">
        <v>2014</v>
      </c>
      <c r="B41" t="s">
        <v>23</v>
      </c>
      <c r="C41" t="s">
        <v>7</v>
      </c>
      <c r="D41" t="s">
        <v>32</v>
      </c>
      <c r="E41">
        <v>23.7</v>
      </c>
      <c r="F41" t="s">
        <v>48</v>
      </c>
    </row>
    <row r="42" spans="1:6" x14ac:dyDescent="0.35">
      <c r="A42">
        <v>2014</v>
      </c>
      <c r="B42" t="s">
        <v>23</v>
      </c>
      <c r="C42" t="s">
        <v>13</v>
      </c>
      <c r="D42" t="s">
        <v>34</v>
      </c>
      <c r="E42">
        <v>61.5</v>
      </c>
      <c r="F42" t="s">
        <v>48</v>
      </c>
    </row>
    <row r="43" spans="1:6" x14ac:dyDescent="0.35">
      <c r="A43">
        <v>2014</v>
      </c>
      <c r="B43" t="s">
        <v>23</v>
      </c>
      <c r="C43" t="s">
        <v>13</v>
      </c>
      <c r="D43" t="s">
        <v>32</v>
      </c>
      <c r="E43">
        <v>39.4</v>
      </c>
      <c r="F43" t="s">
        <v>48</v>
      </c>
    </row>
    <row r="44" spans="1:6" x14ac:dyDescent="0.35">
      <c r="A44">
        <v>2014</v>
      </c>
      <c r="B44" t="s">
        <v>24</v>
      </c>
      <c r="C44" t="s">
        <v>7</v>
      </c>
      <c r="D44" t="s">
        <v>47</v>
      </c>
      <c r="E44">
        <v>23.1</v>
      </c>
      <c r="F44" t="s">
        <v>48</v>
      </c>
    </row>
    <row r="45" spans="1:6" x14ac:dyDescent="0.35">
      <c r="A45">
        <v>2014</v>
      </c>
      <c r="B45" t="s">
        <v>24</v>
      </c>
      <c r="C45" t="s">
        <v>13</v>
      </c>
      <c r="D45" t="s">
        <v>47</v>
      </c>
      <c r="E45">
        <v>58.4</v>
      </c>
      <c r="F45" t="s">
        <v>48</v>
      </c>
    </row>
    <row r="46" spans="1:6" x14ac:dyDescent="0.35">
      <c r="A46">
        <v>2014</v>
      </c>
      <c r="B46" t="s">
        <v>24</v>
      </c>
      <c r="C46" t="s">
        <v>7</v>
      </c>
      <c r="D46" t="s">
        <v>34</v>
      </c>
      <c r="E46">
        <v>55.1</v>
      </c>
      <c r="F46" t="s">
        <v>48</v>
      </c>
    </row>
    <row r="47" spans="1:6" x14ac:dyDescent="0.35">
      <c r="A47">
        <v>2014</v>
      </c>
      <c r="B47" t="s">
        <v>24</v>
      </c>
      <c r="C47" t="s">
        <v>7</v>
      </c>
      <c r="D47" t="s">
        <v>32</v>
      </c>
      <c r="E47">
        <v>31.3</v>
      </c>
      <c r="F47" t="s">
        <v>48</v>
      </c>
    </row>
    <row r="48" spans="1:6" x14ac:dyDescent="0.35">
      <c r="A48">
        <v>2014</v>
      </c>
      <c r="B48" t="s">
        <v>24</v>
      </c>
      <c r="C48" t="s">
        <v>13</v>
      </c>
      <c r="D48" t="s">
        <v>34</v>
      </c>
      <c r="E48">
        <v>75.8</v>
      </c>
      <c r="F48" t="s">
        <v>48</v>
      </c>
    </row>
    <row r="49" spans="1:6" x14ac:dyDescent="0.35">
      <c r="A49">
        <v>2014</v>
      </c>
      <c r="B49" t="s">
        <v>24</v>
      </c>
      <c r="C49" t="s">
        <v>13</v>
      </c>
      <c r="D49" t="s">
        <v>32</v>
      </c>
      <c r="E49">
        <v>52.7</v>
      </c>
      <c r="F49" t="s">
        <v>48</v>
      </c>
    </row>
    <row r="50" spans="1:6" x14ac:dyDescent="0.35">
      <c r="A50">
        <v>2014</v>
      </c>
      <c r="B50" t="s">
        <v>25</v>
      </c>
      <c r="C50" t="s">
        <v>7</v>
      </c>
      <c r="D50" t="s">
        <v>47</v>
      </c>
      <c r="E50">
        <v>39.1</v>
      </c>
      <c r="F50" t="s">
        <v>48</v>
      </c>
    </row>
    <row r="51" spans="1:6" x14ac:dyDescent="0.35">
      <c r="A51">
        <v>2014</v>
      </c>
      <c r="B51" t="s">
        <v>25</v>
      </c>
      <c r="C51" t="s">
        <v>13</v>
      </c>
      <c r="D51" t="s">
        <v>47</v>
      </c>
      <c r="E51">
        <v>69.400000000000006</v>
      </c>
      <c r="F51" t="s">
        <v>48</v>
      </c>
    </row>
    <row r="52" spans="1:6" x14ac:dyDescent="0.35">
      <c r="A52">
        <v>2014</v>
      </c>
      <c r="B52" t="s">
        <v>25</v>
      </c>
      <c r="C52" t="s">
        <v>7</v>
      </c>
      <c r="D52" t="s">
        <v>34</v>
      </c>
      <c r="E52">
        <v>54.2</v>
      </c>
      <c r="F52" t="s">
        <v>48</v>
      </c>
    </row>
    <row r="53" spans="1:6" x14ac:dyDescent="0.35">
      <c r="A53">
        <v>2014</v>
      </c>
      <c r="B53" t="s">
        <v>25</v>
      </c>
      <c r="C53" t="s">
        <v>7</v>
      </c>
      <c r="D53" t="s">
        <v>32</v>
      </c>
      <c r="E53">
        <v>32.700000000000003</v>
      </c>
      <c r="F53" t="s">
        <v>48</v>
      </c>
    </row>
    <row r="54" spans="1:6" x14ac:dyDescent="0.35">
      <c r="A54">
        <v>2014</v>
      </c>
      <c r="B54" t="s">
        <v>25</v>
      </c>
      <c r="C54" t="s">
        <v>13</v>
      </c>
      <c r="D54" t="s">
        <v>34</v>
      </c>
      <c r="E54">
        <v>76.900000000000006</v>
      </c>
      <c r="F54" t="s">
        <v>48</v>
      </c>
    </row>
    <row r="55" spans="1:6" x14ac:dyDescent="0.35">
      <c r="A55">
        <v>2014</v>
      </c>
      <c r="B55" t="s">
        <v>25</v>
      </c>
      <c r="C55" t="s">
        <v>13</v>
      </c>
      <c r="D55" t="s">
        <v>32</v>
      </c>
      <c r="E55">
        <v>58.6</v>
      </c>
      <c r="F55" t="s">
        <v>48</v>
      </c>
    </row>
    <row r="56" spans="1:6" x14ac:dyDescent="0.35">
      <c r="A56">
        <v>2014</v>
      </c>
      <c r="B56" t="s">
        <v>26</v>
      </c>
      <c r="C56" t="s">
        <v>7</v>
      </c>
      <c r="D56" t="s">
        <v>47</v>
      </c>
      <c r="E56">
        <v>14</v>
      </c>
      <c r="F56" t="s">
        <v>48</v>
      </c>
    </row>
    <row r="57" spans="1:6" x14ac:dyDescent="0.35">
      <c r="A57">
        <v>2014</v>
      </c>
      <c r="B57" t="s">
        <v>26</v>
      </c>
      <c r="C57" t="s">
        <v>13</v>
      </c>
      <c r="D57" t="s">
        <v>47</v>
      </c>
      <c r="E57">
        <v>45.1</v>
      </c>
      <c r="F57" t="s">
        <v>48</v>
      </c>
    </row>
    <row r="58" spans="1:6" x14ac:dyDescent="0.35">
      <c r="A58">
        <v>2014</v>
      </c>
      <c r="B58" t="s">
        <v>26</v>
      </c>
      <c r="C58" t="s">
        <v>7</v>
      </c>
      <c r="D58" t="s">
        <v>34</v>
      </c>
      <c r="E58">
        <v>38.4</v>
      </c>
      <c r="F58" t="s">
        <v>48</v>
      </c>
    </row>
    <row r="59" spans="1:6" x14ac:dyDescent="0.35">
      <c r="A59">
        <v>2014</v>
      </c>
      <c r="B59" t="s">
        <v>26</v>
      </c>
      <c r="C59" t="s">
        <v>7</v>
      </c>
      <c r="D59" t="s">
        <v>32</v>
      </c>
      <c r="E59">
        <v>16.600000000000001</v>
      </c>
      <c r="F59" t="s">
        <v>48</v>
      </c>
    </row>
    <row r="60" spans="1:6" x14ac:dyDescent="0.35">
      <c r="A60">
        <v>2014</v>
      </c>
      <c r="B60" t="s">
        <v>26</v>
      </c>
      <c r="C60" t="s">
        <v>13</v>
      </c>
      <c r="D60" t="s">
        <v>34</v>
      </c>
      <c r="E60">
        <v>59</v>
      </c>
      <c r="F60" t="s">
        <v>48</v>
      </c>
    </row>
    <row r="61" spans="1:6" x14ac:dyDescent="0.35">
      <c r="A61">
        <v>2014</v>
      </c>
      <c r="B61" t="s">
        <v>26</v>
      </c>
      <c r="C61" t="s">
        <v>13</v>
      </c>
      <c r="D61" t="s">
        <v>32</v>
      </c>
      <c r="E61">
        <v>36.6</v>
      </c>
      <c r="F61" t="s">
        <v>48</v>
      </c>
    </row>
    <row r="62" spans="1:6" x14ac:dyDescent="0.35">
      <c r="A62">
        <v>2014</v>
      </c>
      <c r="B62" t="s">
        <v>27</v>
      </c>
      <c r="C62" t="s">
        <v>7</v>
      </c>
      <c r="D62" t="s">
        <v>47</v>
      </c>
      <c r="E62">
        <v>41.5</v>
      </c>
      <c r="F62" t="s">
        <v>48</v>
      </c>
    </row>
    <row r="63" spans="1:6" x14ac:dyDescent="0.35">
      <c r="A63">
        <v>2014</v>
      </c>
      <c r="B63" t="s">
        <v>27</v>
      </c>
      <c r="C63" t="s">
        <v>13</v>
      </c>
      <c r="D63" t="s">
        <v>47</v>
      </c>
      <c r="E63">
        <v>70.8</v>
      </c>
      <c r="F63" t="s">
        <v>48</v>
      </c>
    </row>
    <row r="64" spans="1:6" x14ac:dyDescent="0.35">
      <c r="A64">
        <v>2014</v>
      </c>
      <c r="B64" t="s">
        <v>27</v>
      </c>
      <c r="C64" t="s">
        <v>7</v>
      </c>
      <c r="D64" t="s">
        <v>34</v>
      </c>
      <c r="E64">
        <v>57.6</v>
      </c>
      <c r="F64" t="s">
        <v>48</v>
      </c>
    </row>
    <row r="65" spans="1:6" x14ac:dyDescent="0.35">
      <c r="A65">
        <v>2014</v>
      </c>
      <c r="B65" t="s">
        <v>27</v>
      </c>
      <c r="C65" t="s">
        <v>7</v>
      </c>
      <c r="D65" t="s">
        <v>32</v>
      </c>
      <c r="E65">
        <v>39.4</v>
      </c>
      <c r="F65" t="s">
        <v>48</v>
      </c>
    </row>
    <row r="66" spans="1:6" x14ac:dyDescent="0.35">
      <c r="A66">
        <v>2014</v>
      </c>
      <c r="B66" t="s">
        <v>27</v>
      </c>
      <c r="C66" t="s">
        <v>13</v>
      </c>
      <c r="D66" t="s">
        <v>34</v>
      </c>
      <c r="E66">
        <v>76.8</v>
      </c>
      <c r="F66" t="s">
        <v>48</v>
      </c>
    </row>
    <row r="67" spans="1:6" x14ac:dyDescent="0.35">
      <c r="A67">
        <v>2014</v>
      </c>
      <c r="B67" t="s">
        <v>27</v>
      </c>
      <c r="C67" t="s">
        <v>13</v>
      </c>
      <c r="D67" t="s">
        <v>32</v>
      </c>
      <c r="E67">
        <v>60.2</v>
      </c>
      <c r="F67" t="s">
        <v>48</v>
      </c>
    </row>
    <row r="68" spans="1:6" x14ac:dyDescent="0.35">
      <c r="A68">
        <v>2014</v>
      </c>
      <c r="B68" t="s">
        <v>28</v>
      </c>
      <c r="C68" t="s">
        <v>7</v>
      </c>
      <c r="D68" t="s">
        <v>47</v>
      </c>
      <c r="E68">
        <v>7.9</v>
      </c>
      <c r="F68" t="s">
        <v>48</v>
      </c>
    </row>
    <row r="69" spans="1:6" x14ac:dyDescent="0.35">
      <c r="A69">
        <v>2014</v>
      </c>
      <c r="B69" t="s">
        <v>28</v>
      </c>
      <c r="C69" t="s">
        <v>13</v>
      </c>
      <c r="D69" t="s">
        <v>47</v>
      </c>
      <c r="E69">
        <v>30.7</v>
      </c>
      <c r="F69" t="s">
        <v>48</v>
      </c>
    </row>
    <row r="70" spans="1:6" x14ac:dyDescent="0.35">
      <c r="A70">
        <v>2014</v>
      </c>
      <c r="B70" t="s">
        <v>28</v>
      </c>
      <c r="C70" t="s">
        <v>7</v>
      </c>
      <c r="D70" t="s">
        <v>34</v>
      </c>
      <c r="E70">
        <v>29.8</v>
      </c>
      <c r="F70" t="s">
        <v>48</v>
      </c>
    </row>
    <row r="71" spans="1:6" x14ac:dyDescent="0.35">
      <c r="A71">
        <v>2014</v>
      </c>
      <c r="B71" t="s">
        <v>28</v>
      </c>
      <c r="C71" t="s">
        <v>7</v>
      </c>
      <c r="D71" t="s">
        <v>32</v>
      </c>
      <c r="E71">
        <v>14.2</v>
      </c>
      <c r="F71" t="s">
        <v>48</v>
      </c>
    </row>
    <row r="72" spans="1:6" x14ac:dyDescent="0.35">
      <c r="A72">
        <v>2014</v>
      </c>
      <c r="B72" t="s">
        <v>28</v>
      </c>
      <c r="C72" t="s">
        <v>13</v>
      </c>
      <c r="D72" t="s">
        <v>34</v>
      </c>
      <c r="E72">
        <v>48.3</v>
      </c>
      <c r="F72" t="s">
        <v>48</v>
      </c>
    </row>
    <row r="73" spans="1:6" x14ac:dyDescent="0.35">
      <c r="A73">
        <v>2014</v>
      </c>
      <c r="B73" t="s">
        <v>28</v>
      </c>
      <c r="C73" t="s">
        <v>13</v>
      </c>
      <c r="D73" t="s">
        <v>32</v>
      </c>
      <c r="E73">
        <v>27.1</v>
      </c>
      <c r="F73" t="s">
        <v>48</v>
      </c>
    </row>
    <row r="74" spans="1:6" x14ac:dyDescent="0.35">
      <c r="A74">
        <v>2014</v>
      </c>
      <c r="B74" t="s">
        <v>29</v>
      </c>
      <c r="C74" t="s">
        <v>7</v>
      </c>
      <c r="D74" t="s">
        <v>47</v>
      </c>
      <c r="E74">
        <v>14.3</v>
      </c>
      <c r="F74" t="s">
        <v>48</v>
      </c>
    </row>
    <row r="75" spans="1:6" x14ac:dyDescent="0.35">
      <c r="A75">
        <v>2014</v>
      </c>
      <c r="B75" t="s">
        <v>29</v>
      </c>
      <c r="C75" t="s">
        <v>13</v>
      </c>
      <c r="D75" t="s">
        <v>47</v>
      </c>
      <c r="E75">
        <v>47.8</v>
      </c>
      <c r="F75" t="s">
        <v>48</v>
      </c>
    </row>
    <row r="76" spans="1:6" x14ac:dyDescent="0.35">
      <c r="A76">
        <v>2014</v>
      </c>
      <c r="B76" t="s">
        <v>29</v>
      </c>
      <c r="C76" t="s">
        <v>7</v>
      </c>
      <c r="D76" t="s">
        <v>34</v>
      </c>
      <c r="E76">
        <v>46.2</v>
      </c>
      <c r="F76" t="s">
        <v>48</v>
      </c>
    </row>
    <row r="77" spans="1:6" x14ac:dyDescent="0.35">
      <c r="A77">
        <v>2014</v>
      </c>
      <c r="B77" t="s">
        <v>29</v>
      </c>
      <c r="C77" t="s">
        <v>7</v>
      </c>
      <c r="D77" t="s">
        <v>32</v>
      </c>
      <c r="E77">
        <v>28.4</v>
      </c>
      <c r="F77" t="s">
        <v>48</v>
      </c>
    </row>
    <row r="78" spans="1:6" x14ac:dyDescent="0.35">
      <c r="A78">
        <v>2014</v>
      </c>
      <c r="B78" t="s">
        <v>29</v>
      </c>
      <c r="C78" t="s">
        <v>13</v>
      </c>
      <c r="D78" t="s">
        <v>34</v>
      </c>
      <c r="E78">
        <v>63.5</v>
      </c>
      <c r="F78" t="s">
        <v>48</v>
      </c>
    </row>
    <row r="79" spans="1:6" x14ac:dyDescent="0.35">
      <c r="A79">
        <v>2014</v>
      </c>
      <c r="B79" t="s">
        <v>29</v>
      </c>
      <c r="C79" t="s">
        <v>13</v>
      </c>
      <c r="D79" t="s">
        <v>32</v>
      </c>
      <c r="E79">
        <v>42.7</v>
      </c>
      <c r="F79" t="s">
        <v>48</v>
      </c>
    </row>
    <row r="80" spans="1:6" x14ac:dyDescent="0.35">
      <c r="A80">
        <v>2016</v>
      </c>
      <c r="B80" t="s">
        <v>6</v>
      </c>
      <c r="C80" t="s">
        <v>7</v>
      </c>
      <c r="D80" t="s">
        <v>47</v>
      </c>
      <c r="E80">
        <v>10</v>
      </c>
      <c r="F80" t="s">
        <v>49</v>
      </c>
    </row>
    <row r="81" spans="1:6" x14ac:dyDescent="0.35">
      <c r="A81">
        <v>2016</v>
      </c>
      <c r="B81" t="s">
        <v>6</v>
      </c>
      <c r="C81" t="s">
        <v>13</v>
      </c>
      <c r="D81" t="s">
        <v>47</v>
      </c>
      <c r="E81">
        <v>25</v>
      </c>
      <c r="F81" t="s">
        <v>49</v>
      </c>
    </row>
    <row r="82" spans="1:6" x14ac:dyDescent="0.35">
      <c r="A82">
        <v>2016</v>
      </c>
      <c r="B82" t="s">
        <v>6</v>
      </c>
      <c r="C82" t="s">
        <v>7</v>
      </c>
      <c r="D82" t="s">
        <v>34</v>
      </c>
      <c r="E82">
        <v>35</v>
      </c>
      <c r="F82" t="s">
        <v>49</v>
      </c>
    </row>
    <row r="83" spans="1:6" x14ac:dyDescent="0.35">
      <c r="A83">
        <v>2016</v>
      </c>
      <c r="B83" t="s">
        <v>6</v>
      </c>
      <c r="C83" t="s">
        <v>7</v>
      </c>
      <c r="D83" t="s">
        <v>32</v>
      </c>
      <c r="E83">
        <v>20</v>
      </c>
      <c r="F83" t="s">
        <v>49</v>
      </c>
    </row>
    <row r="84" spans="1:6" x14ac:dyDescent="0.35">
      <c r="A84">
        <v>2016</v>
      </c>
      <c r="B84" t="s">
        <v>6</v>
      </c>
      <c r="C84" t="s">
        <v>13</v>
      </c>
      <c r="D84" t="s">
        <v>34</v>
      </c>
      <c r="E84">
        <v>40</v>
      </c>
      <c r="F84" t="s">
        <v>49</v>
      </c>
    </row>
    <row r="85" spans="1:6" x14ac:dyDescent="0.35">
      <c r="A85">
        <v>2016</v>
      </c>
      <c r="B85" t="s">
        <v>6</v>
      </c>
      <c r="C85" t="s">
        <v>13</v>
      </c>
      <c r="D85" t="s">
        <v>32</v>
      </c>
      <c r="E85">
        <v>25</v>
      </c>
      <c r="F85" t="s">
        <v>49</v>
      </c>
    </row>
    <row r="86" spans="1:6" x14ac:dyDescent="0.35">
      <c r="A86">
        <v>2016</v>
      </c>
      <c r="B86" t="s">
        <v>18</v>
      </c>
      <c r="C86" t="s">
        <v>7</v>
      </c>
      <c r="D86" t="s">
        <v>47</v>
      </c>
      <c r="E86">
        <v>12</v>
      </c>
      <c r="F86" t="s">
        <v>49</v>
      </c>
    </row>
    <row r="87" spans="1:6" x14ac:dyDescent="0.35">
      <c r="A87">
        <v>2016</v>
      </c>
      <c r="B87" t="s">
        <v>18</v>
      </c>
      <c r="C87" t="s">
        <v>13</v>
      </c>
      <c r="D87" t="s">
        <v>47</v>
      </c>
      <c r="E87">
        <v>28</v>
      </c>
      <c r="F87" t="s">
        <v>49</v>
      </c>
    </row>
    <row r="88" spans="1:6" x14ac:dyDescent="0.35">
      <c r="A88">
        <v>2016</v>
      </c>
      <c r="B88" t="s">
        <v>18</v>
      </c>
      <c r="C88" t="s">
        <v>7</v>
      </c>
      <c r="D88" t="s">
        <v>34</v>
      </c>
      <c r="E88">
        <v>43</v>
      </c>
      <c r="F88" t="s">
        <v>49</v>
      </c>
    </row>
    <row r="89" spans="1:6" x14ac:dyDescent="0.35">
      <c r="A89">
        <v>2016</v>
      </c>
      <c r="B89" t="s">
        <v>18</v>
      </c>
      <c r="C89" t="s">
        <v>7</v>
      </c>
      <c r="D89" t="s">
        <v>32</v>
      </c>
      <c r="E89">
        <v>20</v>
      </c>
      <c r="F89" t="s">
        <v>49</v>
      </c>
    </row>
    <row r="90" spans="1:6" x14ac:dyDescent="0.35">
      <c r="A90">
        <v>2016</v>
      </c>
      <c r="B90" t="s">
        <v>18</v>
      </c>
      <c r="C90" t="s">
        <v>13</v>
      </c>
      <c r="D90" t="s">
        <v>34</v>
      </c>
      <c r="E90">
        <v>48</v>
      </c>
      <c r="F90" t="s">
        <v>49</v>
      </c>
    </row>
    <row r="91" spans="1:6" x14ac:dyDescent="0.35">
      <c r="A91">
        <v>2016</v>
      </c>
      <c r="B91" t="s">
        <v>18</v>
      </c>
      <c r="C91" t="s">
        <v>13</v>
      </c>
      <c r="D91" t="s">
        <v>32</v>
      </c>
      <c r="E91">
        <v>30</v>
      </c>
      <c r="F91" t="s">
        <v>49</v>
      </c>
    </row>
    <row r="92" spans="1:6" x14ac:dyDescent="0.35">
      <c r="A92">
        <v>2016</v>
      </c>
      <c r="B92" t="s">
        <v>19</v>
      </c>
      <c r="C92" t="s">
        <v>7</v>
      </c>
      <c r="D92" t="s">
        <v>47</v>
      </c>
      <c r="E92">
        <v>50</v>
      </c>
      <c r="F92" t="s">
        <v>49</v>
      </c>
    </row>
    <row r="93" spans="1:6" x14ac:dyDescent="0.35">
      <c r="A93">
        <v>2016</v>
      </c>
      <c r="B93" t="s">
        <v>19</v>
      </c>
      <c r="C93" t="s">
        <v>13</v>
      </c>
      <c r="D93" t="s">
        <v>47</v>
      </c>
      <c r="E93">
        <v>60</v>
      </c>
      <c r="F93" t="s">
        <v>49</v>
      </c>
    </row>
    <row r="94" spans="1:6" x14ac:dyDescent="0.35">
      <c r="A94">
        <v>2016</v>
      </c>
      <c r="B94" t="s">
        <v>19</v>
      </c>
      <c r="C94" t="s">
        <v>7</v>
      </c>
      <c r="D94" t="s">
        <v>34</v>
      </c>
      <c r="E94">
        <v>45</v>
      </c>
      <c r="F94" t="s">
        <v>49</v>
      </c>
    </row>
    <row r="95" spans="1:6" x14ac:dyDescent="0.35">
      <c r="A95">
        <v>2016</v>
      </c>
      <c r="B95" t="s">
        <v>19</v>
      </c>
      <c r="C95" t="s">
        <v>7</v>
      </c>
      <c r="D95" t="s">
        <v>32</v>
      </c>
      <c r="E95">
        <v>30</v>
      </c>
      <c r="F95" t="s">
        <v>49</v>
      </c>
    </row>
    <row r="96" spans="1:6" x14ac:dyDescent="0.35">
      <c r="A96">
        <v>2016</v>
      </c>
      <c r="B96" t="s">
        <v>19</v>
      </c>
      <c r="C96" t="s">
        <v>13</v>
      </c>
      <c r="D96" t="s">
        <v>34</v>
      </c>
      <c r="E96">
        <v>55</v>
      </c>
      <c r="F96" t="s">
        <v>49</v>
      </c>
    </row>
    <row r="97" spans="1:6" x14ac:dyDescent="0.35">
      <c r="A97">
        <v>2016</v>
      </c>
      <c r="B97" t="s">
        <v>19</v>
      </c>
      <c r="C97" t="s">
        <v>13</v>
      </c>
      <c r="D97" t="s">
        <v>32</v>
      </c>
      <c r="E97">
        <v>40</v>
      </c>
      <c r="F97" t="s">
        <v>49</v>
      </c>
    </row>
    <row r="98" spans="1:6" x14ac:dyDescent="0.35">
      <c r="A98">
        <v>2016</v>
      </c>
      <c r="B98" t="s">
        <v>20</v>
      </c>
      <c r="C98" t="s">
        <v>7</v>
      </c>
      <c r="D98" t="s">
        <v>47</v>
      </c>
      <c r="E98">
        <v>45</v>
      </c>
      <c r="F98" t="s">
        <v>49</v>
      </c>
    </row>
    <row r="99" spans="1:6" x14ac:dyDescent="0.35">
      <c r="A99">
        <v>2016</v>
      </c>
      <c r="B99" t="s">
        <v>20</v>
      </c>
      <c r="C99" t="s">
        <v>13</v>
      </c>
      <c r="D99" t="s">
        <v>47</v>
      </c>
      <c r="E99">
        <v>60</v>
      </c>
      <c r="F99" t="s">
        <v>49</v>
      </c>
    </row>
    <row r="100" spans="1:6" x14ac:dyDescent="0.35">
      <c r="A100">
        <v>2016</v>
      </c>
      <c r="B100" t="s">
        <v>20</v>
      </c>
      <c r="C100" t="s">
        <v>7</v>
      </c>
      <c r="D100" t="s">
        <v>34</v>
      </c>
      <c r="E100">
        <v>60</v>
      </c>
      <c r="F100" t="s">
        <v>49</v>
      </c>
    </row>
    <row r="101" spans="1:6" x14ac:dyDescent="0.35">
      <c r="A101">
        <v>2016</v>
      </c>
      <c r="B101" t="s">
        <v>20</v>
      </c>
      <c r="C101" t="s">
        <v>7</v>
      </c>
      <c r="D101" t="s">
        <v>32</v>
      </c>
      <c r="E101">
        <v>50</v>
      </c>
      <c r="F101" t="s">
        <v>49</v>
      </c>
    </row>
    <row r="102" spans="1:6" x14ac:dyDescent="0.35">
      <c r="A102">
        <v>2016</v>
      </c>
      <c r="B102" t="s">
        <v>20</v>
      </c>
      <c r="C102" t="s">
        <v>13</v>
      </c>
      <c r="D102" t="s">
        <v>34</v>
      </c>
      <c r="E102">
        <v>70</v>
      </c>
      <c r="F102" t="s">
        <v>49</v>
      </c>
    </row>
    <row r="103" spans="1:6" x14ac:dyDescent="0.35">
      <c r="A103">
        <v>2016</v>
      </c>
      <c r="B103" t="s">
        <v>20</v>
      </c>
      <c r="C103" t="s">
        <v>13</v>
      </c>
      <c r="D103" t="s">
        <v>32</v>
      </c>
      <c r="E103">
        <v>65</v>
      </c>
      <c r="F103" t="s">
        <v>49</v>
      </c>
    </row>
    <row r="104" spans="1:6" x14ac:dyDescent="0.35">
      <c r="A104">
        <v>2016</v>
      </c>
      <c r="B104" t="s">
        <v>21</v>
      </c>
      <c r="C104" t="s">
        <v>7</v>
      </c>
      <c r="D104" t="s">
        <v>47</v>
      </c>
      <c r="E104">
        <v>11</v>
      </c>
      <c r="F104" t="s">
        <v>49</v>
      </c>
    </row>
    <row r="105" spans="1:6" x14ac:dyDescent="0.35">
      <c r="A105">
        <v>2016</v>
      </c>
      <c r="B105" t="s">
        <v>21</v>
      </c>
      <c r="C105" t="s">
        <v>13</v>
      </c>
      <c r="D105" t="s">
        <v>47</v>
      </c>
      <c r="E105">
        <v>27</v>
      </c>
      <c r="F105" t="s">
        <v>49</v>
      </c>
    </row>
    <row r="106" spans="1:6" x14ac:dyDescent="0.35">
      <c r="A106">
        <v>2016</v>
      </c>
      <c r="B106" t="s">
        <v>21</v>
      </c>
      <c r="C106" t="s">
        <v>7</v>
      </c>
      <c r="D106" t="s">
        <v>34</v>
      </c>
      <c r="E106">
        <v>33</v>
      </c>
      <c r="F106" t="s">
        <v>49</v>
      </c>
    </row>
    <row r="107" spans="1:6" x14ac:dyDescent="0.35">
      <c r="A107">
        <v>2016</v>
      </c>
      <c r="B107" t="s">
        <v>21</v>
      </c>
      <c r="C107" t="s">
        <v>7</v>
      </c>
      <c r="D107" t="s">
        <v>32</v>
      </c>
      <c r="E107">
        <v>21</v>
      </c>
      <c r="F107" t="s">
        <v>49</v>
      </c>
    </row>
    <row r="108" spans="1:6" x14ac:dyDescent="0.35">
      <c r="A108">
        <v>2016</v>
      </c>
      <c r="B108" t="s">
        <v>21</v>
      </c>
      <c r="C108" t="s">
        <v>13</v>
      </c>
      <c r="D108" t="s">
        <v>34</v>
      </c>
      <c r="E108">
        <v>41</v>
      </c>
      <c r="F108" t="s">
        <v>49</v>
      </c>
    </row>
    <row r="109" spans="1:6" x14ac:dyDescent="0.35">
      <c r="A109">
        <v>2016</v>
      </c>
      <c r="B109" t="s">
        <v>21</v>
      </c>
      <c r="C109" t="s">
        <v>13</v>
      </c>
      <c r="D109" t="s">
        <v>32</v>
      </c>
      <c r="E109">
        <v>29</v>
      </c>
      <c r="F109" t="s">
        <v>49</v>
      </c>
    </row>
    <row r="110" spans="1:6" x14ac:dyDescent="0.35">
      <c r="A110">
        <v>2016</v>
      </c>
      <c r="B110" t="s">
        <v>22</v>
      </c>
      <c r="C110" t="s">
        <v>7</v>
      </c>
      <c r="D110" t="s">
        <v>47</v>
      </c>
      <c r="E110">
        <v>54</v>
      </c>
      <c r="F110" t="s">
        <v>49</v>
      </c>
    </row>
    <row r="111" spans="1:6" x14ac:dyDescent="0.35">
      <c r="A111">
        <v>2016</v>
      </c>
      <c r="B111" t="s">
        <v>22</v>
      </c>
      <c r="C111" t="s">
        <v>13</v>
      </c>
      <c r="D111" t="s">
        <v>47</v>
      </c>
      <c r="E111">
        <v>70</v>
      </c>
      <c r="F111" t="s">
        <v>49</v>
      </c>
    </row>
    <row r="112" spans="1:6" x14ac:dyDescent="0.35">
      <c r="A112">
        <v>2016</v>
      </c>
      <c r="B112" t="s">
        <v>22</v>
      </c>
      <c r="C112" t="s">
        <v>7</v>
      </c>
      <c r="D112" t="s">
        <v>34</v>
      </c>
      <c r="E112">
        <v>65</v>
      </c>
      <c r="F112" t="s">
        <v>49</v>
      </c>
    </row>
    <row r="113" spans="1:6" x14ac:dyDescent="0.35">
      <c r="A113">
        <v>2016</v>
      </c>
      <c r="B113" t="s">
        <v>22</v>
      </c>
      <c r="C113" t="s">
        <v>7</v>
      </c>
      <c r="D113" t="s">
        <v>32</v>
      </c>
      <c r="E113">
        <v>57</v>
      </c>
      <c r="F113" t="s">
        <v>49</v>
      </c>
    </row>
    <row r="114" spans="1:6" x14ac:dyDescent="0.35">
      <c r="A114">
        <v>2016</v>
      </c>
      <c r="B114" t="s">
        <v>22</v>
      </c>
      <c r="C114" t="s">
        <v>13</v>
      </c>
      <c r="D114" t="s">
        <v>34</v>
      </c>
      <c r="E114">
        <v>75</v>
      </c>
      <c r="F114" t="s">
        <v>49</v>
      </c>
    </row>
    <row r="115" spans="1:6" x14ac:dyDescent="0.35">
      <c r="A115">
        <v>2016</v>
      </c>
      <c r="B115" t="s">
        <v>22</v>
      </c>
      <c r="C115" t="s">
        <v>13</v>
      </c>
      <c r="D115" t="s">
        <v>32</v>
      </c>
      <c r="E115">
        <v>72</v>
      </c>
      <c r="F115" t="s">
        <v>49</v>
      </c>
    </row>
    <row r="116" spans="1:6" x14ac:dyDescent="0.35">
      <c r="A116">
        <v>2016</v>
      </c>
      <c r="B116" t="s">
        <v>23</v>
      </c>
      <c r="C116" t="s">
        <v>7</v>
      </c>
      <c r="D116" t="s">
        <v>47</v>
      </c>
      <c r="E116">
        <v>12</v>
      </c>
      <c r="F116" t="s">
        <v>49</v>
      </c>
    </row>
    <row r="117" spans="1:6" x14ac:dyDescent="0.35">
      <c r="A117">
        <v>2016</v>
      </c>
      <c r="B117" t="s">
        <v>23</v>
      </c>
      <c r="C117" t="s">
        <v>13</v>
      </c>
      <c r="D117" t="s">
        <v>47</v>
      </c>
      <c r="E117">
        <v>28</v>
      </c>
      <c r="F117" t="s">
        <v>49</v>
      </c>
    </row>
    <row r="118" spans="1:6" x14ac:dyDescent="0.35">
      <c r="A118">
        <v>2016</v>
      </c>
      <c r="B118" t="s">
        <v>23</v>
      </c>
      <c r="C118" t="s">
        <v>7</v>
      </c>
      <c r="D118" t="s">
        <v>34</v>
      </c>
      <c r="E118">
        <v>36</v>
      </c>
      <c r="F118" t="s">
        <v>49</v>
      </c>
    </row>
    <row r="119" spans="1:6" x14ac:dyDescent="0.35">
      <c r="A119">
        <v>2016</v>
      </c>
      <c r="B119" t="s">
        <v>23</v>
      </c>
      <c r="C119" t="s">
        <v>7</v>
      </c>
      <c r="D119" t="s">
        <v>32</v>
      </c>
      <c r="E119">
        <v>23</v>
      </c>
      <c r="F119" t="s">
        <v>49</v>
      </c>
    </row>
    <row r="120" spans="1:6" x14ac:dyDescent="0.35">
      <c r="A120">
        <v>2016</v>
      </c>
      <c r="B120" t="s">
        <v>23</v>
      </c>
      <c r="C120" t="s">
        <v>13</v>
      </c>
      <c r="D120" t="s">
        <v>34</v>
      </c>
      <c r="E120">
        <v>45</v>
      </c>
      <c r="F120" t="s">
        <v>49</v>
      </c>
    </row>
    <row r="121" spans="1:6" x14ac:dyDescent="0.35">
      <c r="A121">
        <v>2016</v>
      </c>
      <c r="B121" t="s">
        <v>23</v>
      </c>
      <c r="C121" t="s">
        <v>13</v>
      </c>
      <c r="D121" t="s">
        <v>32</v>
      </c>
      <c r="E121">
        <v>30</v>
      </c>
      <c r="F121" t="s">
        <v>49</v>
      </c>
    </row>
    <row r="122" spans="1:6" x14ac:dyDescent="0.35">
      <c r="A122">
        <v>2016</v>
      </c>
      <c r="B122" t="s">
        <v>24</v>
      </c>
      <c r="C122" t="s">
        <v>7</v>
      </c>
      <c r="D122" t="s">
        <v>47</v>
      </c>
      <c r="E122">
        <v>50</v>
      </c>
      <c r="F122" t="s">
        <v>49</v>
      </c>
    </row>
    <row r="123" spans="1:6" x14ac:dyDescent="0.35">
      <c r="A123">
        <v>2016</v>
      </c>
      <c r="B123" t="s">
        <v>24</v>
      </c>
      <c r="C123" t="s">
        <v>13</v>
      </c>
      <c r="D123" t="s">
        <v>47</v>
      </c>
      <c r="E123">
        <v>65</v>
      </c>
      <c r="F123" t="s">
        <v>49</v>
      </c>
    </row>
    <row r="124" spans="1:6" x14ac:dyDescent="0.35">
      <c r="A124">
        <v>2016</v>
      </c>
      <c r="B124" t="s">
        <v>24</v>
      </c>
      <c r="C124" t="s">
        <v>7</v>
      </c>
      <c r="D124" t="s">
        <v>34</v>
      </c>
      <c r="E124">
        <v>34</v>
      </c>
      <c r="F124" t="s">
        <v>49</v>
      </c>
    </row>
    <row r="125" spans="1:6" x14ac:dyDescent="0.35">
      <c r="A125">
        <v>2016</v>
      </c>
      <c r="B125" t="s">
        <v>24</v>
      </c>
      <c r="C125" t="s">
        <v>7</v>
      </c>
      <c r="D125" t="s">
        <v>32</v>
      </c>
      <c r="E125">
        <v>22</v>
      </c>
      <c r="F125" t="s">
        <v>49</v>
      </c>
    </row>
    <row r="126" spans="1:6" x14ac:dyDescent="0.35">
      <c r="A126">
        <v>2016</v>
      </c>
      <c r="B126" t="s">
        <v>24</v>
      </c>
      <c r="C126" t="s">
        <v>13</v>
      </c>
      <c r="D126" t="s">
        <v>34</v>
      </c>
      <c r="E126">
        <v>68</v>
      </c>
      <c r="F126" t="s">
        <v>49</v>
      </c>
    </row>
    <row r="127" spans="1:6" x14ac:dyDescent="0.35">
      <c r="A127">
        <v>2016</v>
      </c>
      <c r="B127" t="s">
        <v>24</v>
      </c>
      <c r="C127" t="s">
        <v>13</v>
      </c>
      <c r="D127" t="s">
        <v>32</v>
      </c>
      <c r="E127">
        <v>60</v>
      </c>
      <c r="F127" t="s">
        <v>49</v>
      </c>
    </row>
    <row r="128" spans="1:6" x14ac:dyDescent="0.35">
      <c r="A128">
        <v>2016</v>
      </c>
      <c r="B128" t="s">
        <v>25</v>
      </c>
      <c r="C128" t="s">
        <v>7</v>
      </c>
      <c r="D128" t="s">
        <v>47</v>
      </c>
      <c r="E128">
        <v>55</v>
      </c>
      <c r="F128" t="s">
        <v>49</v>
      </c>
    </row>
    <row r="129" spans="1:6" x14ac:dyDescent="0.35">
      <c r="A129">
        <v>2016</v>
      </c>
      <c r="B129" t="s">
        <v>25</v>
      </c>
      <c r="C129" t="s">
        <v>13</v>
      </c>
      <c r="D129" t="s">
        <v>47</v>
      </c>
      <c r="E129">
        <v>68</v>
      </c>
      <c r="F129" t="s">
        <v>49</v>
      </c>
    </row>
    <row r="130" spans="1:6" x14ac:dyDescent="0.35">
      <c r="A130">
        <v>2016</v>
      </c>
      <c r="B130" t="s">
        <v>25</v>
      </c>
      <c r="C130" t="s">
        <v>7</v>
      </c>
      <c r="D130" t="s">
        <v>34</v>
      </c>
      <c r="E130">
        <v>60</v>
      </c>
      <c r="F130" t="s">
        <v>49</v>
      </c>
    </row>
    <row r="131" spans="1:6" x14ac:dyDescent="0.35">
      <c r="A131">
        <v>2016</v>
      </c>
      <c r="B131" t="s">
        <v>25</v>
      </c>
      <c r="C131" t="s">
        <v>7</v>
      </c>
      <c r="D131" t="s">
        <v>32</v>
      </c>
      <c r="E131">
        <v>52</v>
      </c>
      <c r="F131" t="s">
        <v>49</v>
      </c>
    </row>
    <row r="132" spans="1:6" x14ac:dyDescent="0.35">
      <c r="A132">
        <v>2016</v>
      </c>
      <c r="B132" t="s">
        <v>25</v>
      </c>
      <c r="C132" t="s">
        <v>13</v>
      </c>
      <c r="D132" t="s">
        <v>34</v>
      </c>
      <c r="E132">
        <v>70</v>
      </c>
      <c r="F132" t="s">
        <v>49</v>
      </c>
    </row>
    <row r="133" spans="1:6" x14ac:dyDescent="0.35">
      <c r="A133">
        <v>2016</v>
      </c>
      <c r="B133" t="s">
        <v>25</v>
      </c>
      <c r="C133" t="s">
        <v>13</v>
      </c>
      <c r="D133" t="s">
        <v>32</v>
      </c>
      <c r="E133">
        <v>66</v>
      </c>
      <c r="F133" t="s">
        <v>49</v>
      </c>
    </row>
    <row r="134" spans="1:6" x14ac:dyDescent="0.35">
      <c r="A134">
        <v>2016</v>
      </c>
      <c r="B134" t="s">
        <v>26</v>
      </c>
      <c r="C134" t="s">
        <v>7</v>
      </c>
      <c r="D134" t="s">
        <v>47</v>
      </c>
      <c r="E134">
        <v>15</v>
      </c>
      <c r="F134" t="s">
        <v>49</v>
      </c>
    </row>
    <row r="135" spans="1:6" x14ac:dyDescent="0.35">
      <c r="A135">
        <v>2016</v>
      </c>
      <c r="B135" t="s">
        <v>26</v>
      </c>
      <c r="C135" t="s">
        <v>13</v>
      </c>
      <c r="D135" t="s">
        <v>47</v>
      </c>
      <c r="E135">
        <v>35</v>
      </c>
      <c r="F135" t="s">
        <v>49</v>
      </c>
    </row>
    <row r="136" spans="1:6" x14ac:dyDescent="0.35">
      <c r="A136">
        <v>2016</v>
      </c>
      <c r="B136" t="s">
        <v>26</v>
      </c>
      <c r="C136" t="s">
        <v>7</v>
      </c>
      <c r="D136" t="s">
        <v>34</v>
      </c>
      <c r="E136">
        <v>30</v>
      </c>
      <c r="F136" t="s">
        <v>49</v>
      </c>
    </row>
    <row r="137" spans="1:6" x14ac:dyDescent="0.35">
      <c r="A137">
        <v>2016</v>
      </c>
      <c r="B137" t="s">
        <v>26</v>
      </c>
      <c r="C137" t="s">
        <v>7</v>
      </c>
      <c r="D137" t="s">
        <v>32</v>
      </c>
      <c r="E137">
        <v>15</v>
      </c>
      <c r="F137" t="s">
        <v>49</v>
      </c>
    </row>
    <row r="138" spans="1:6" x14ac:dyDescent="0.35">
      <c r="A138">
        <v>2016</v>
      </c>
      <c r="B138" t="s">
        <v>26</v>
      </c>
      <c r="C138" t="s">
        <v>13</v>
      </c>
      <c r="D138" t="s">
        <v>34</v>
      </c>
      <c r="E138">
        <v>42</v>
      </c>
      <c r="F138" t="s">
        <v>49</v>
      </c>
    </row>
    <row r="139" spans="1:6" x14ac:dyDescent="0.35">
      <c r="A139">
        <v>2016</v>
      </c>
      <c r="B139" t="s">
        <v>26</v>
      </c>
      <c r="C139" t="s">
        <v>13</v>
      </c>
      <c r="D139" t="s">
        <v>32</v>
      </c>
      <c r="E139">
        <v>28</v>
      </c>
      <c r="F139" t="s">
        <v>49</v>
      </c>
    </row>
    <row r="140" spans="1:6" x14ac:dyDescent="0.35">
      <c r="A140">
        <v>2016</v>
      </c>
      <c r="B140" t="s">
        <v>27</v>
      </c>
      <c r="C140" t="s">
        <v>7</v>
      </c>
      <c r="D140" t="s">
        <v>47</v>
      </c>
      <c r="E140">
        <v>60</v>
      </c>
      <c r="F140" t="s">
        <v>49</v>
      </c>
    </row>
    <row r="141" spans="1:6" x14ac:dyDescent="0.35">
      <c r="A141">
        <v>2016</v>
      </c>
      <c r="B141" t="s">
        <v>27</v>
      </c>
      <c r="C141" t="s">
        <v>13</v>
      </c>
      <c r="D141" t="s">
        <v>47</v>
      </c>
      <c r="E141">
        <v>75</v>
      </c>
      <c r="F141" t="s">
        <v>49</v>
      </c>
    </row>
    <row r="142" spans="1:6" x14ac:dyDescent="0.35">
      <c r="A142">
        <v>2016</v>
      </c>
      <c r="B142" t="s">
        <v>27</v>
      </c>
      <c r="C142" t="s">
        <v>7</v>
      </c>
      <c r="D142" t="s">
        <v>34</v>
      </c>
      <c r="E142">
        <v>55</v>
      </c>
      <c r="F142" t="s">
        <v>49</v>
      </c>
    </row>
    <row r="143" spans="1:6" x14ac:dyDescent="0.35">
      <c r="A143">
        <v>2016</v>
      </c>
      <c r="B143" t="s">
        <v>27</v>
      </c>
      <c r="C143" t="s">
        <v>7</v>
      </c>
      <c r="D143" t="s">
        <v>32</v>
      </c>
      <c r="E143">
        <v>45</v>
      </c>
      <c r="F143" t="s">
        <v>49</v>
      </c>
    </row>
    <row r="144" spans="1:6" x14ac:dyDescent="0.35">
      <c r="A144">
        <v>2016</v>
      </c>
      <c r="B144" t="s">
        <v>27</v>
      </c>
      <c r="C144" t="s">
        <v>13</v>
      </c>
      <c r="D144" t="s">
        <v>34</v>
      </c>
      <c r="E144">
        <v>72</v>
      </c>
      <c r="F144" t="s">
        <v>49</v>
      </c>
    </row>
    <row r="145" spans="1:6" x14ac:dyDescent="0.35">
      <c r="A145">
        <v>2016</v>
      </c>
      <c r="B145" t="s">
        <v>27</v>
      </c>
      <c r="C145" t="s">
        <v>13</v>
      </c>
      <c r="D145" t="s">
        <v>32</v>
      </c>
      <c r="E145">
        <v>70</v>
      </c>
      <c r="F145" t="s">
        <v>49</v>
      </c>
    </row>
    <row r="146" spans="1:6" x14ac:dyDescent="0.35">
      <c r="A146">
        <v>2016</v>
      </c>
      <c r="B146" t="s">
        <v>28</v>
      </c>
      <c r="C146" t="s">
        <v>7</v>
      </c>
      <c r="D146" t="s">
        <v>47</v>
      </c>
      <c r="E146">
        <v>7.2</v>
      </c>
      <c r="F146" t="s">
        <v>49</v>
      </c>
    </row>
    <row r="147" spans="1:6" x14ac:dyDescent="0.35">
      <c r="A147">
        <v>2016</v>
      </c>
      <c r="B147" t="s">
        <v>28</v>
      </c>
      <c r="C147" t="s">
        <v>13</v>
      </c>
      <c r="D147" t="s">
        <v>47</v>
      </c>
      <c r="E147">
        <v>30</v>
      </c>
      <c r="F147" t="s">
        <v>49</v>
      </c>
    </row>
    <row r="148" spans="1:6" x14ac:dyDescent="0.35">
      <c r="A148">
        <v>2016</v>
      </c>
      <c r="B148" t="s">
        <v>28</v>
      </c>
      <c r="C148" t="s">
        <v>7</v>
      </c>
      <c r="D148" t="s">
        <v>34</v>
      </c>
      <c r="E148">
        <v>25</v>
      </c>
      <c r="F148" t="s">
        <v>49</v>
      </c>
    </row>
    <row r="149" spans="1:6" x14ac:dyDescent="0.35">
      <c r="A149">
        <v>2016</v>
      </c>
      <c r="B149" t="s">
        <v>28</v>
      </c>
      <c r="C149" t="s">
        <v>7</v>
      </c>
      <c r="D149" t="s">
        <v>32</v>
      </c>
      <c r="E149">
        <v>18</v>
      </c>
      <c r="F149" t="s">
        <v>49</v>
      </c>
    </row>
    <row r="150" spans="1:6" x14ac:dyDescent="0.35">
      <c r="A150">
        <v>2016</v>
      </c>
      <c r="B150" t="s">
        <v>28</v>
      </c>
      <c r="C150" t="s">
        <v>13</v>
      </c>
      <c r="D150" t="s">
        <v>34</v>
      </c>
      <c r="E150">
        <v>38</v>
      </c>
      <c r="F150" t="s">
        <v>49</v>
      </c>
    </row>
    <row r="151" spans="1:6" x14ac:dyDescent="0.35">
      <c r="A151">
        <v>2016</v>
      </c>
      <c r="B151" t="s">
        <v>28</v>
      </c>
      <c r="C151" t="s">
        <v>13</v>
      </c>
      <c r="D151" t="s">
        <v>32</v>
      </c>
      <c r="E151">
        <v>27</v>
      </c>
      <c r="F151" t="s">
        <v>49</v>
      </c>
    </row>
    <row r="152" spans="1:6" x14ac:dyDescent="0.35">
      <c r="A152">
        <v>2016</v>
      </c>
      <c r="B152" t="s">
        <v>29</v>
      </c>
      <c r="C152" t="s">
        <v>7</v>
      </c>
      <c r="D152" t="s">
        <v>47</v>
      </c>
      <c r="E152">
        <v>20</v>
      </c>
      <c r="F152" t="s">
        <v>49</v>
      </c>
    </row>
    <row r="153" spans="1:6" x14ac:dyDescent="0.35">
      <c r="A153">
        <v>2016</v>
      </c>
      <c r="B153" t="s">
        <v>29</v>
      </c>
      <c r="C153" t="s">
        <v>13</v>
      </c>
      <c r="D153" t="s">
        <v>47</v>
      </c>
      <c r="E153">
        <v>40</v>
      </c>
      <c r="F153" t="s">
        <v>49</v>
      </c>
    </row>
    <row r="154" spans="1:6" x14ac:dyDescent="0.35">
      <c r="A154">
        <v>2016</v>
      </c>
      <c r="B154" t="s">
        <v>29</v>
      </c>
      <c r="C154" t="s">
        <v>7</v>
      </c>
      <c r="D154" t="s">
        <v>34</v>
      </c>
      <c r="E154">
        <v>45</v>
      </c>
      <c r="F154" t="s">
        <v>49</v>
      </c>
    </row>
    <row r="155" spans="1:6" x14ac:dyDescent="0.35">
      <c r="A155">
        <v>2016</v>
      </c>
      <c r="B155" t="s">
        <v>29</v>
      </c>
      <c r="C155" t="s">
        <v>7</v>
      </c>
      <c r="D155" t="s">
        <v>32</v>
      </c>
      <c r="E155">
        <v>30</v>
      </c>
      <c r="F155" t="s">
        <v>49</v>
      </c>
    </row>
    <row r="156" spans="1:6" x14ac:dyDescent="0.35">
      <c r="A156">
        <v>2016</v>
      </c>
      <c r="B156" t="s">
        <v>29</v>
      </c>
      <c r="C156" t="s">
        <v>13</v>
      </c>
      <c r="D156" t="s">
        <v>34</v>
      </c>
      <c r="E156">
        <v>55</v>
      </c>
      <c r="F156" t="s">
        <v>49</v>
      </c>
    </row>
    <row r="157" spans="1:6" x14ac:dyDescent="0.35">
      <c r="A157">
        <v>2016</v>
      </c>
      <c r="B157" t="s">
        <v>29</v>
      </c>
      <c r="C157" t="s">
        <v>13</v>
      </c>
      <c r="D157" t="s">
        <v>32</v>
      </c>
      <c r="E157">
        <v>42</v>
      </c>
      <c r="F157" t="s">
        <v>49</v>
      </c>
    </row>
    <row r="158" spans="1:6" x14ac:dyDescent="0.35">
      <c r="A158">
        <v>2018</v>
      </c>
      <c r="B158" t="s">
        <v>6</v>
      </c>
      <c r="C158" t="s">
        <v>7</v>
      </c>
      <c r="D158" t="s">
        <v>47</v>
      </c>
      <c r="E158">
        <v>9.8000000000000007</v>
      </c>
      <c r="F158" t="s">
        <v>50</v>
      </c>
    </row>
    <row r="159" spans="1:6" x14ac:dyDescent="0.35">
      <c r="A159">
        <v>2018</v>
      </c>
      <c r="B159" t="s">
        <v>6</v>
      </c>
      <c r="C159" t="s">
        <v>13</v>
      </c>
      <c r="D159" t="s">
        <v>47</v>
      </c>
      <c r="E159">
        <v>27.3</v>
      </c>
      <c r="F159" t="s">
        <v>50</v>
      </c>
    </row>
    <row r="160" spans="1:6" x14ac:dyDescent="0.35">
      <c r="A160">
        <v>2018</v>
      </c>
      <c r="B160" t="s">
        <v>6</v>
      </c>
      <c r="C160" t="s">
        <v>7</v>
      </c>
      <c r="D160" t="s">
        <v>34</v>
      </c>
      <c r="E160">
        <v>36.5</v>
      </c>
      <c r="F160" t="s">
        <v>50</v>
      </c>
    </row>
    <row r="161" spans="1:6" x14ac:dyDescent="0.35">
      <c r="A161">
        <v>2018</v>
      </c>
      <c r="B161" t="s">
        <v>6</v>
      </c>
      <c r="C161" t="s">
        <v>7</v>
      </c>
      <c r="D161" t="s">
        <v>32</v>
      </c>
      <c r="E161">
        <v>21.4</v>
      </c>
      <c r="F161" t="s">
        <v>50</v>
      </c>
    </row>
    <row r="162" spans="1:6" x14ac:dyDescent="0.35">
      <c r="A162">
        <v>2018</v>
      </c>
      <c r="B162" t="s">
        <v>6</v>
      </c>
      <c r="C162" t="s">
        <v>13</v>
      </c>
      <c r="D162" t="s">
        <v>34</v>
      </c>
      <c r="E162">
        <v>45.2</v>
      </c>
      <c r="F162" t="s">
        <v>50</v>
      </c>
    </row>
    <row r="163" spans="1:6" x14ac:dyDescent="0.35">
      <c r="A163">
        <v>2018</v>
      </c>
      <c r="B163" t="s">
        <v>6</v>
      </c>
      <c r="C163" t="s">
        <v>13</v>
      </c>
      <c r="D163" t="s">
        <v>32</v>
      </c>
      <c r="E163">
        <v>28.9</v>
      </c>
      <c r="F163" t="s">
        <v>50</v>
      </c>
    </row>
    <row r="164" spans="1:6" x14ac:dyDescent="0.35">
      <c r="A164">
        <v>2018</v>
      </c>
      <c r="B164" t="s">
        <v>18</v>
      </c>
      <c r="C164" t="s">
        <v>7</v>
      </c>
      <c r="D164" t="s">
        <v>47</v>
      </c>
      <c r="E164">
        <v>12.3</v>
      </c>
      <c r="F164" t="s">
        <v>50</v>
      </c>
    </row>
    <row r="165" spans="1:6" x14ac:dyDescent="0.35">
      <c r="A165">
        <v>2018</v>
      </c>
      <c r="B165" t="s">
        <v>18</v>
      </c>
      <c r="C165" t="s">
        <v>13</v>
      </c>
      <c r="D165" t="s">
        <v>47</v>
      </c>
      <c r="E165">
        <v>31.5</v>
      </c>
      <c r="F165" t="s">
        <v>50</v>
      </c>
    </row>
    <row r="166" spans="1:6" x14ac:dyDescent="0.35">
      <c r="A166">
        <v>2018</v>
      </c>
      <c r="B166" t="s">
        <v>18</v>
      </c>
      <c r="C166" t="s">
        <v>7</v>
      </c>
      <c r="D166" t="s">
        <v>34</v>
      </c>
      <c r="E166">
        <v>42.7</v>
      </c>
      <c r="F166" t="s">
        <v>50</v>
      </c>
    </row>
    <row r="167" spans="1:6" x14ac:dyDescent="0.35">
      <c r="A167">
        <v>2018</v>
      </c>
      <c r="B167" t="s">
        <v>18</v>
      </c>
      <c r="C167" t="s">
        <v>7</v>
      </c>
      <c r="D167" t="s">
        <v>32</v>
      </c>
      <c r="E167">
        <v>24.8</v>
      </c>
      <c r="F167" t="s">
        <v>50</v>
      </c>
    </row>
    <row r="168" spans="1:6" x14ac:dyDescent="0.35">
      <c r="A168">
        <v>2018</v>
      </c>
      <c r="B168" t="s">
        <v>18</v>
      </c>
      <c r="C168" t="s">
        <v>13</v>
      </c>
      <c r="D168" t="s">
        <v>34</v>
      </c>
      <c r="E168">
        <v>52.9</v>
      </c>
      <c r="F168" t="s">
        <v>50</v>
      </c>
    </row>
    <row r="169" spans="1:6" x14ac:dyDescent="0.35">
      <c r="A169">
        <v>2018</v>
      </c>
      <c r="B169" t="s">
        <v>18</v>
      </c>
      <c r="C169" t="s">
        <v>13</v>
      </c>
      <c r="D169" t="s">
        <v>32</v>
      </c>
      <c r="E169">
        <v>34.6</v>
      </c>
      <c r="F169" t="s">
        <v>50</v>
      </c>
    </row>
    <row r="170" spans="1:6" x14ac:dyDescent="0.35">
      <c r="A170">
        <v>2018</v>
      </c>
      <c r="B170" t="s">
        <v>19</v>
      </c>
      <c r="C170" t="s">
        <v>7</v>
      </c>
      <c r="D170" t="s">
        <v>47</v>
      </c>
      <c r="E170">
        <v>47.5</v>
      </c>
      <c r="F170" t="s">
        <v>50</v>
      </c>
    </row>
    <row r="171" spans="1:6" x14ac:dyDescent="0.35">
      <c r="A171">
        <v>2018</v>
      </c>
      <c r="B171" t="s">
        <v>19</v>
      </c>
      <c r="C171" t="s">
        <v>13</v>
      </c>
      <c r="D171" t="s">
        <v>47</v>
      </c>
      <c r="E171">
        <v>58.7</v>
      </c>
      <c r="F171" t="s">
        <v>50</v>
      </c>
    </row>
    <row r="172" spans="1:6" x14ac:dyDescent="0.35">
      <c r="A172">
        <v>2018</v>
      </c>
      <c r="B172" t="s">
        <v>19</v>
      </c>
      <c r="C172" t="s">
        <v>7</v>
      </c>
      <c r="D172" t="s">
        <v>34</v>
      </c>
      <c r="E172">
        <v>49.2</v>
      </c>
      <c r="F172" t="s">
        <v>50</v>
      </c>
    </row>
    <row r="173" spans="1:6" x14ac:dyDescent="0.35">
      <c r="A173">
        <v>2018</v>
      </c>
      <c r="B173" t="s">
        <v>19</v>
      </c>
      <c r="C173" t="s">
        <v>7</v>
      </c>
      <c r="D173" t="s">
        <v>32</v>
      </c>
      <c r="E173">
        <v>32.6</v>
      </c>
      <c r="F173" t="s">
        <v>50</v>
      </c>
    </row>
    <row r="174" spans="1:6" x14ac:dyDescent="0.35">
      <c r="A174">
        <v>2018</v>
      </c>
      <c r="B174" t="s">
        <v>19</v>
      </c>
      <c r="C174" t="s">
        <v>13</v>
      </c>
      <c r="D174" t="s">
        <v>34</v>
      </c>
      <c r="E174">
        <v>60.3</v>
      </c>
      <c r="F174" t="s">
        <v>50</v>
      </c>
    </row>
    <row r="175" spans="1:6" x14ac:dyDescent="0.35">
      <c r="A175">
        <v>2018</v>
      </c>
      <c r="B175" t="s">
        <v>19</v>
      </c>
      <c r="C175" t="s">
        <v>13</v>
      </c>
      <c r="D175" t="s">
        <v>32</v>
      </c>
      <c r="E175">
        <v>44.8</v>
      </c>
      <c r="F175" t="s">
        <v>50</v>
      </c>
    </row>
    <row r="176" spans="1:6" x14ac:dyDescent="0.35">
      <c r="A176">
        <v>2018</v>
      </c>
      <c r="B176" t="s">
        <v>20</v>
      </c>
      <c r="C176" t="s">
        <v>7</v>
      </c>
      <c r="D176" t="s">
        <v>47</v>
      </c>
      <c r="E176">
        <v>46.3</v>
      </c>
      <c r="F176" t="s">
        <v>50</v>
      </c>
    </row>
    <row r="177" spans="1:6" x14ac:dyDescent="0.35">
      <c r="A177">
        <v>2018</v>
      </c>
      <c r="B177" t="s">
        <v>20</v>
      </c>
      <c r="C177" t="s">
        <v>13</v>
      </c>
      <c r="D177" t="s">
        <v>47</v>
      </c>
      <c r="E177">
        <v>74.5</v>
      </c>
      <c r="F177" t="s">
        <v>50</v>
      </c>
    </row>
    <row r="178" spans="1:6" x14ac:dyDescent="0.35">
      <c r="A178">
        <v>2018</v>
      </c>
      <c r="B178" t="s">
        <v>20</v>
      </c>
      <c r="C178" t="s">
        <v>7</v>
      </c>
      <c r="D178" t="s">
        <v>34</v>
      </c>
      <c r="E178">
        <v>68.900000000000006</v>
      </c>
      <c r="F178" t="s">
        <v>50</v>
      </c>
    </row>
    <row r="179" spans="1:6" x14ac:dyDescent="0.35">
      <c r="A179">
        <v>2018</v>
      </c>
      <c r="B179" t="s">
        <v>20</v>
      </c>
      <c r="C179" t="s">
        <v>7</v>
      </c>
      <c r="D179" t="s">
        <v>32</v>
      </c>
      <c r="E179">
        <v>52.4</v>
      </c>
      <c r="F179" t="s">
        <v>50</v>
      </c>
    </row>
    <row r="180" spans="1:6" x14ac:dyDescent="0.35">
      <c r="A180">
        <v>2018</v>
      </c>
      <c r="B180" t="s">
        <v>20</v>
      </c>
      <c r="C180" t="s">
        <v>13</v>
      </c>
      <c r="D180" t="s">
        <v>34</v>
      </c>
      <c r="E180">
        <v>87.6</v>
      </c>
      <c r="F180" t="s">
        <v>50</v>
      </c>
    </row>
    <row r="181" spans="1:6" x14ac:dyDescent="0.35">
      <c r="A181">
        <v>2018</v>
      </c>
      <c r="B181" t="s">
        <v>20</v>
      </c>
      <c r="C181" t="s">
        <v>13</v>
      </c>
      <c r="D181" t="s">
        <v>32</v>
      </c>
      <c r="E181">
        <v>51.5</v>
      </c>
      <c r="F181" t="s">
        <v>50</v>
      </c>
    </row>
    <row r="182" spans="1:6" x14ac:dyDescent="0.35">
      <c r="A182">
        <v>2018</v>
      </c>
      <c r="B182" t="s">
        <v>21</v>
      </c>
      <c r="C182" t="s">
        <v>7</v>
      </c>
      <c r="D182" t="s">
        <v>47</v>
      </c>
      <c r="E182">
        <v>9.6</v>
      </c>
      <c r="F182" t="s">
        <v>50</v>
      </c>
    </row>
    <row r="183" spans="1:6" x14ac:dyDescent="0.35">
      <c r="A183">
        <v>2018</v>
      </c>
      <c r="B183" t="s">
        <v>21</v>
      </c>
      <c r="C183" t="s">
        <v>13</v>
      </c>
      <c r="D183" t="s">
        <v>47</v>
      </c>
      <c r="E183">
        <v>29.4</v>
      </c>
      <c r="F183" t="s">
        <v>50</v>
      </c>
    </row>
    <row r="184" spans="1:6" x14ac:dyDescent="0.35">
      <c r="A184">
        <v>2018</v>
      </c>
      <c r="B184" t="s">
        <v>21</v>
      </c>
      <c r="C184" t="s">
        <v>7</v>
      </c>
      <c r="D184" t="s">
        <v>34</v>
      </c>
      <c r="E184">
        <v>34.6</v>
      </c>
      <c r="F184" t="s">
        <v>50</v>
      </c>
    </row>
    <row r="185" spans="1:6" x14ac:dyDescent="0.35">
      <c r="A185">
        <v>2018</v>
      </c>
      <c r="B185" t="s">
        <v>21</v>
      </c>
      <c r="C185" t="s">
        <v>7</v>
      </c>
      <c r="D185" t="s">
        <v>32</v>
      </c>
      <c r="E185">
        <v>20.3</v>
      </c>
      <c r="F185" t="s">
        <v>50</v>
      </c>
    </row>
    <row r="186" spans="1:6" x14ac:dyDescent="0.35">
      <c r="A186">
        <v>2018</v>
      </c>
      <c r="B186" t="s">
        <v>21</v>
      </c>
      <c r="C186" t="s">
        <v>13</v>
      </c>
      <c r="D186" t="s">
        <v>34</v>
      </c>
      <c r="E186">
        <v>49.2</v>
      </c>
      <c r="F186" t="s">
        <v>50</v>
      </c>
    </row>
    <row r="187" spans="1:6" x14ac:dyDescent="0.35">
      <c r="A187">
        <v>2018</v>
      </c>
      <c r="B187" t="s">
        <v>21</v>
      </c>
      <c r="C187" t="s">
        <v>13</v>
      </c>
      <c r="D187" t="s">
        <v>32</v>
      </c>
      <c r="E187">
        <v>15.6</v>
      </c>
      <c r="F187" t="s">
        <v>50</v>
      </c>
    </row>
    <row r="188" spans="1:6" x14ac:dyDescent="0.35">
      <c r="A188">
        <v>2018</v>
      </c>
      <c r="B188" t="s">
        <v>22</v>
      </c>
      <c r="C188" t="s">
        <v>7</v>
      </c>
      <c r="D188" t="s">
        <v>47</v>
      </c>
      <c r="E188">
        <v>62.1</v>
      </c>
      <c r="F188" t="s">
        <v>50</v>
      </c>
    </row>
    <row r="189" spans="1:6" x14ac:dyDescent="0.35">
      <c r="A189">
        <v>2018</v>
      </c>
      <c r="B189" t="s">
        <v>22</v>
      </c>
      <c r="C189" t="s">
        <v>13</v>
      </c>
      <c r="D189" t="s">
        <v>47</v>
      </c>
      <c r="E189">
        <v>73.099999999999994</v>
      </c>
      <c r="F189" t="s">
        <v>50</v>
      </c>
    </row>
    <row r="190" spans="1:6" x14ac:dyDescent="0.35">
      <c r="A190">
        <v>2018</v>
      </c>
      <c r="B190" t="s">
        <v>22</v>
      </c>
      <c r="C190" t="s">
        <v>7</v>
      </c>
      <c r="D190" t="s">
        <v>34</v>
      </c>
      <c r="E190">
        <v>79.599999999999994</v>
      </c>
      <c r="F190" t="s">
        <v>50</v>
      </c>
    </row>
    <row r="191" spans="1:6" x14ac:dyDescent="0.35">
      <c r="A191">
        <v>2018</v>
      </c>
      <c r="B191" t="s">
        <v>22</v>
      </c>
      <c r="C191" t="s">
        <v>7</v>
      </c>
      <c r="D191" t="s">
        <v>32</v>
      </c>
      <c r="E191">
        <v>63.4</v>
      </c>
      <c r="F191" t="s">
        <v>50</v>
      </c>
    </row>
    <row r="192" spans="1:6" x14ac:dyDescent="0.35">
      <c r="A192">
        <v>2018</v>
      </c>
      <c r="B192" t="s">
        <v>22</v>
      </c>
      <c r="C192" t="s">
        <v>13</v>
      </c>
      <c r="D192" t="s">
        <v>34</v>
      </c>
      <c r="E192">
        <v>92.1</v>
      </c>
      <c r="F192" t="s">
        <v>50</v>
      </c>
    </row>
    <row r="193" spans="1:6" x14ac:dyDescent="0.35">
      <c r="A193">
        <v>2018</v>
      </c>
      <c r="B193" t="s">
        <v>22</v>
      </c>
      <c r="C193" t="s">
        <v>13</v>
      </c>
      <c r="D193" t="s">
        <v>32</v>
      </c>
      <c r="E193">
        <v>33.5</v>
      </c>
      <c r="F193" t="s">
        <v>50</v>
      </c>
    </row>
    <row r="194" spans="1:6" x14ac:dyDescent="0.35">
      <c r="A194">
        <v>2018</v>
      </c>
      <c r="B194" t="s">
        <v>23</v>
      </c>
      <c r="C194" t="s">
        <v>7</v>
      </c>
      <c r="D194" t="s">
        <v>47</v>
      </c>
      <c r="E194">
        <v>9.9</v>
      </c>
      <c r="F194" t="s">
        <v>50</v>
      </c>
    </row>
    <row r="195" spans="1:6" x14ac:dyDescent="0.35">
      <c r="A195">
        <v>2018</v>
      </c>
      <c r="B195" t="s">
        <v>23</v>
      </c>
      <c r="C195" t="s">
        <v>13</v>
      </c>
      <c r="D195" t="s">
        <v>47</v>
      </c>
      <c r="E195">
        <v>34.4</v>
      </c>
      <c r="F195" t="s">
        <v>50</v>
      </c>
    </row>
    <row r="196" spans="1:6" x14ac:dyDescent="0.35">
      <c r="A196">
        <v>2018</v>
      </c>
      <c r="B196" t="s">
        <v>23</v>
      </c>
      <c r="C196" t="s">
        <v>7</v>
      </c>
      <c r="D196" t="s">
        <v>34</v>
      </c>
      <c r="E196">
        <v>38.700000000000003</v>
      </c>
      <c r="F196" t="s">
        <v>50</v>
      </c>
    </row>
    <row r="197" spans="1:6" x14ac:dyDescent="0.35">
      <c r="A197">
        <v>2018</v>
      </c>
      <c r="B197" t="s">
        <v>23</v>
      </c>
      <c r="C197" t="s">
        <v>7</v>
      </c>
      <c r="D197" t="s">
        <v>32</v>
      </c>
      <c r="E197">
        <v>22.1</v>
      </c>
      <c r="F197" t="s">
        <v>50</v>
      </c>
    </row>
    <row r="198" spans="1:6" x14ac:dyDescent="0.35">
      <c r="A198">
        <v>2018</v>
      </c>
      <c r="B198" t="s">
        <v>23</v>
      </c>
      <c r="C198" t="s">
        <v>13</v>
      </c>
      <c r="D198" t="s">
        <v>34</v>
      </c>
      <c r="E198">
        <v>52.3</v>
      </c>
      <c r="F198" t="s">
        <v>50</v>
      </c>
    </row>
    <row r="199" spans="1:6" x14ac:dyDescent="0.35">
      <c r="A199">
        <v>2018</v>
      </c>
      <c r="B199" t="s">
        <v>23</v>
      </c>
      <c r="C199" t="s">
        <v>13</v>
      </c>
      <c r="D199" t="s">
        <v>32</v>
      </c>
      <c r="E199">
        <v>16.5</v>
      </c>
      <c r="F199" t="s">
        <v>50</v>
      </c>
    </row>
    <row r="200" spans="1:6" x14ac:dyDescent="0.35">
      <c r="A200">
        <v>2018</v>
      </c>
      <c r="B200" t="s">
        <v>24</v>
      </c>
      <c r="C200" t="s">
        <v>7</v>
      </c>
      <c r="D200" t="s">
        <v>47</v>
      </c>
      <c r="E200">
        <v>39.200000000000003</v>
      </c>
      <c r="F200" t="s">
        <v>50</v>
      </c>
    </row>
    <row r="201" spans="1:6" x14ac:dyDescent="0.35">
      <c r="A201">
        <v>2018</v>
      </c>
      <c r="B201" t="s">
        <v>24</v>
      </c>
      <c r="C201" t="s">
        <v>13</v>
      </c>
      <c r="D201" t="s">
        <v>47</v>
      </c>
      <c r="E201">
        <v>66</v>
      </c>
      <c r="F201" t="s">
        <v>50</v>
      </c>
    </row>
    <row r="202" spans="1:6" x14ac:dyDescent="0.35">
      <c r="A202">
        <v>2018</v>
      </c>
      <c r="B202" t="s">
        <v>24</v>
      </c>
      <c r="C202" t="s">
        <v>7</v>
      </c>
      <c r="D202" t="s">
        <v>34</v>
      </c>
      <c r="E202">
        <v>55.8</v>
      </c>
      <c r="F202" t="s">
        <v>50</v>
      </c>
    </row>
    <row r="203" spans="1:6" x14ac:dyDescent="0.35">
      <c r="A203">
        <v>2018</v>
      </c>
      <c r="B203" t="s">
        <v>24</v>
      </c>
      <c r="C203" t="s">
        <v>7</v>
      </c>
      <c r="D203" t="s">
        <v>32</v>
      </c>
      <c r="E203">
        <v>33.200000000000003</v>
      </c>
      <c r="F203" t="s">
        <v>50</v>
      </c>
    </row>
    <row r="204" spans="1:6" x14ac:dyDescent="0.35">
      <c r="A204">
        <v>2018</v>
      </c>
      <c r="B204" t="s">
        <v>24</v>
      </c>
      <c r="C204" t="s">
        <v>13</v>
      </c>
      <c r="D204" t="s">
        <v>34</v>
      </c>
      <c r="E204">
        <v>69.7</v>
      </c>
      <c r="F204" t="s">
        <v>50</v>
      </c>
    </row>
    <row r="205" spans="1:6" x14ac:dyDescent="0.35">
      <c r="A205">
        <v>2018</v>
      </c>
      <c r="B205" t="s">
        <v>24</v>
      </c>
      <c r="C205" t="s">
        <v>13</v>
      </c>
      <c r="D205" t="s">
        <v>32</v>
      </c>
      <c r="E205">
        <v>31.7</v>
      </c>
      <c r="F205" t="s">
        <v>50</v>
      </c>
    </row>
    <row r="206" spans="1:6" x14ac:dyDescent="0.35">
      <c r="A206">
        <v>2018</v>
      </c>
      <c r="B206" t="s">
        <v>25</v>
      </c>
      <c r="C206" t="s">
        <v>7</v>
      </c>
      <c r="D206" t="s">
        <v>47</v>
      </c>
      <c r="E206">
        <v>44.8</v>
      </c>
      <c r="F206" t="s">
        <v>50</v>
      </c>
    </row>
    <row r="207" spans="1:6" x14ac:dyDescent="0.35">
      <c r="A207">
        <v>2018</v>
      </c>
      <c r="B207" t="s">
        <v>25</v>
      </c>
      <c r="C207" t="s">
        <v>13</v>
      </c>
      <c r="D207" t="s">
        <v>47</v>
      </c>
      <c r="E207">
        <v>68.7</v>
      </c>
      <c r="F207" t="s">
        <v>50</v>
      </c>
    </row>
    <row r="208" spans="1:6" x14ac:dyDescent="0.35">
      <c r="A208">
        <v>2018</v>
      </c>
      <c r="B208" t="s">
        <v>25</v>
      </c>
      <c r="C208" t="s">
        <v>7</v>
      </c>
      <c r="D208" t="s">
        <v>34</v>
      </c>
      <c r="E208">
        <v>61.4</v>
      </c>
      <c r="F208" t="s">
        <v>50</v>
      </c>
    </row>
    <row r="209" spans="1:6" x14ac:dyDescent="0.35">
      <c r="A209">
        <v>2018</v>
      </c>
      <c r="B209" t="s">
        <v>25</v>
      </c>
      <c r="C209" t="s">
        <v>7</v>
      </c>
      <c r="D209" t="s">
        <v>32</v>
      </c>
      <c r="E209">
        <v>38.6</v>
      </c>
      <c r="F209" t="s">
        <v>50</v>
      </c>
    </row>
    <row r="210" spans="1:6" x14ac:dyDescent="0.35">
      <c r="A210">
        <v>2018</v>
      </c>
      <c r="B210" t="s">
        <v>25</v>
      </c>
      <c r="C210" t="s">
        <v>13</v>
      </c>
      <c r="D210" t="s">
        <v>34</v>
      </c>
      <c r="E210">
        <v>79.5</v>
      </c>
      <c r="F210" t="s">
        <v>50</v>
      </c>
    </row>
    <row r="211" spans="1:6" x14ac:dyDescent="0.35">
      <c r="A211">
        <v>2018</v>
      </c>
      <c r="B211" t="s">
        <v>25</v>
      </c>
      <c r="C211" t="s">
        <v>13</v>
      </c>
      <c r="D211" t="s">
        <v>32</v>
      </c>
      <c r="E211">
        <v>50.1</v>
      </c>
      <c r="F211" t="s">
        <v>50</v>
      </c>
    </row>
    <row r="212" spans="1:6" x14ac:dyDescent="0.35">
      <c r="A212">
        <v>2018</v>
      </c>
      <c r="B212" t="s">
        <v>26</v>
      </c>
      <c r="C212" t="s">
        <v>7</v>
      </c>
      <c r="D212" t="s">
        <v>47</v>
      </c>
      <c r="E212">
        <v>10.199999999999999</v>
      </c>
      <c r="F212" t="s">
        <v>50</v>
      </c>
    </row>
    <row r="213" spans="1:6" x14ac:dyDescent="0.35">
      <c r="A213">
        <v>2018</v>
      </c>
      <c r="B213" t="s">
        <v>26</v>
      </c>
      <c r="C213" t="s">
        <v>13</v>
      </c>
      <c r="D213" t="s">
        <v>47</v>
      </c>
      <c r="E213">
        <v>39.1</v>
      </c>
      <c r="F213" t="s">
        <v>50</v>
      </c>
    </row>
    <row r="214" spans="1:6" x14ac:dyDescent="0.35">
      <c r="A214">
        <v>2018</v>
      </c>
      <c r="B214" t="s">
        <v>26</v>
      </c>
      <c r="C214" t="s">
        <v>7</v>
      </c>
      <c r="D214" t="s">
        <v>34</v>
      </c>
      <c r="E214">
        <v>36.200000000000003</v>
      </c>
      <c r="F214" t="s">
        <v>50</v>
      </c>
    </row>
    <row r="215" spans="1:6" x14ac:dyDescent="0.35">
      <c r="A215">
        <v>2018</v>
      </c>
      <c r="B215" t="s">
        <v>26</v>
      </c>
      <c r="C215" t="s">
        <v>7</v>
      </c>
      <c r="D215" t="s">
        <v>32</v>
      </c>
      <c r="E215">
        <v>17.899999999999999</v>
      </c>
      <c r="F215" t="s">
        <v>50</v>
      </c>
    </row>
    <row r="216" spans="1:6" x14ac:dyDescent="0.35">
      <c r="A216">
        <v>2018</v>
      </c>
      <c r="B216" t="s">
        <v>26</v>
      </c>
      <c r="C216" t="s">
        <v>13</v>
      </c>
      <c r="D216" t="s">
        <v>34</v>
      </c>
      <c r="E216">
        <v>54.6</v>
      </c>
      <c r="F216" t="s">
        <v>50</v>
      </c>
    </row>
    <row r="217" spans="1:6" x14ac:dyDescent="0.35">
      <c r="A217">
        <v>2018</v>
      </c>
      <c r="B217" t="s">
        <v>26</v>
      </c>
      <c r="C217" t="s">
        <v>13</v>
      </c>
      <c r="D217" t="s">
        <v>32</v>
      </c>
      <c r="E217">
        <v>14.1</v>
      </c>
      <c r="F217" t="s">
        <v>50</v>
      </c>
    </row>
    <row r="218" spans="1:6" x14ac:dyDescent="0.35">
      <c r="A218">
        <v>2018</v>
      </c>
      <c r="B218" t="s">
        <v>27</v>
      </c>
      <c r="C218" t="s">
        <v>7</v>
      </c>
      <c r="D218" t="s">
        <v>47</v>
      </c>
      <c r="E218">
        <v>43.9</v>
      </c>
      <c r="F218" t="s">
        <v>50</v>
      </c>
    </row>
    <row r="219" spans="1:6" x14ac:dyDescent="0.35">
      <c r="A219">
        <v>2018</v>
      </c>
      <c r="B219" t="s">
        <v>27</v>
      </c>
      <c r="C219" t="s">
        <v>13</v>
      </c>
      <c r="D219" t="s">
        <v>47</v>
      </c>
      <c r="E219">
        <v>46.3</v>
      </c>
      <c r="F219" t="s">
        <v>50</v>
      </c>
    </row>
    <row r="220" spans="1:6" x14ac:dyDescent="0.35">
      <c r="A220">
        <v>2018</v>
      </c>
      <c r="B220" t="s">
        <v>27</v>
      </c>
      <c r="C220" t="s">
        <v>7</v>
      </c>
      <c r="D220" t="s">
        <v>34</v>
      </c>
      <c r="E220">
        <v>59.8</v>
      </c>
      <c r="F220" t="s">
        <v>50</v>
      </c>
    </row>
    <row r="221" spans="1:6" x14ac:dyDescent="0.35">
      <c r="A221">
        <v>2018</v>
      </c>
      <c r="B221" t="s">
        <v>27</v>
      </c>
      <c r="C221" t="s">
        <v>7</v>
      </c>
      <c r="D221" t="s">
        <v>32</v>
      </c>
      <c r="E221">
        <v>35.6</v>
      </c>
      <c r="F221" t="s">
        <v>50</v>
      </c>
    </row>
    <row r="222" spans="1:6" x14ac:dyDescent="0.35">
      <c r="A222">
        <v>2018</v>
      </c>
      <c r="B222" t="s">
        <v>27</v>
      </c>
      <c r="C222" t="s">
        <v>13</v>
      </c>
      <c r="D222" t="s">
        <v>34</v>
      </c>
      <c r="E222">
        <v>74.2</v>
      </c>
      <c r="F222" t="s">
        <v>50</v>
      </c>
    </row>
    <row r="223" spans="1:6" x14ac:dyDescent="0.35">
      <c r="A223">
        <v>2018</v>
      </c>
      <c r="B223" t="s">
        <v>27</v>
      </c>
      <c r="C223" t="s">
        <v>13</v>
      </c>
      <c r="D223" t="s">
        <v>32</v>
      </c>
      <c r="E223">
        <v>27.1</v>
      </c>
      <c r="F223" t="s">
        <v>50</v>
      </c>
    </row>
    <row r="224" spans="1:6" x14ac:dyDescent="0.35">
      <c r="A224">
        <v>2018</v>
      </c>
      <c r="B224" t="s">
        <v>28</v>
      </c>
      <c r="C224" t="s">
        <v>7</v>
      </c>
      <c r="D224" t="s">
        <v>47</v>
      </c>
      <c r="E224">
        <v>8.4</v>
      </c>
      <c r="F224" t="s">
        <v>50</v>
      </c>
    </row>
    <row r="225" spans="1:6" x14ac:dyDescent="0.35">
      <c r="A225">
        <v>2018</v>
      </c>
      <c r="B225" t="s">
        <v>28</v>
      </c>
      <c r="C225" t="s">
        <v>13</v>
      </c>
      <c r="D225" t="s">
        <v>47</v>
      </c>
      <c r="E225">
        <v>36.200000000000003</v>
      </c>
      <c r="F225" t="s">
        <v>50</v>
      </c>
    </row>
    <row r="226" spans="1:6" x14ac:dyDescent="0.35">
      <c r="A226">
        <v>2018</v>
      </c>
      <c r="B226" t="s">
        <v>28</v>
      </c>
      <c r="C226" t="s">
        <v>7</v>
      </c>
      <c r="D226" t="s">
        <v>34</v>
      </c>
      <c r="E226">
        <v>32.5</v>
      </c>
      <c r="F226" t="s">
        <v>50</v>
      </c>
    </row>
    <row r="227" spans="1:6" x14ac:dyDescent="0.35">
      <c r="A227">
        <v>2018</v>
      </c>
      <c r="B227" t="s">
        <v>28</v>
      </c>
      <c r="C227" t="s">
        <v>7</v>
      </c>
      <c r="D227" t="s">
        <v>32</v>
      </c>
      <c r="E227">
        <v>16.8</v>
      </c>
      <c r="F227" t="s">
        <v>50</v>
      </c>
    </row>
    <row r="228" spans="1:6" x14ac:dyDescent="0.35">
      <c r="A228">
        <v>2018</v>
      </c>
      <c r="B228" t="s">
        <v>28</v>
      </c>
      <c r="C228" t="s">
        <v>13</v>
      </c>
      <c r="D228" t="s">
        <v>34</v>
      </c>
      <c r="E228">
        <v>49.7</v>
      </c>
      <c r="F228" t="s">
        <v>50</v>
      </c>
    </row>
    <row r="229" spans="1:6" x14ac:dyDescent="0.35">
      <c r="A229">
        <v>2018</v>
      </c>
      <c r="B229" t="s">
        <v>28</v>
      </c>
      <c r="C229" t="s">
        <v>13</v>
      </c>
      <c r="D229" t="s">
        <v>32</v>
      </c>
      <c r="E229">
        <v>17</v>
      </c>
      <c r="F229" t="s">
        <v>50</v>
      </c>
    </row>
    <row r="230" spans="1:6" x14ac:dyDescent="0.35">
      <c r="A230">
        <v>2018</v>
      </c>
      <c r="B230" t="s">
        <v>29</v>
      </c>
      <c r="C230" t="s">
        <v>7</v>
      </c>
      <c r="D230" t="s">
        <v>47</v>
      </c>
      <c r="E230">
        <v>18.600000000000001</v>
      </c>
      <c r="F230" t="s">
        <v>50</v>
      </c>
    </row>
    <row r="231" spans="1:6" x14ac:dyDescent="0.35">
      <c r="A231">
        <v>2018</v>
      </c>
      <c r="B231" t="s">
        <v>29</v>
      </c>
      <c r="C231" t="s">
        <v>13</v>
      </c>
      <c r="D231" t="s">
        <v>47</v>
      </c>
      <c r="E231">
        <v>50.5</v>
      </c>
      <c r="F231" t="s">
        <v>50</v>
      </c>
    </row>
    <row r="232" spans="1:6" x14ac:dyDescent="0.35">
      <c r="A232">
        <v>2018</v>
      </c>
      <c r="B232" t="s">
        <v>29</v>
      </c>
      <c r="C232" t="s">
        <v>7</v>
      </c>
      <c r="D232" t="s">
        <v>34</v>
      </c>
      <c r="E232">
        <v>45.9</v>
      </c>
      <c r="F232" t="s">
        <v>50</v>
      </c>
    </row>
    <row r="233" spans="1:6" x14ac:dyDescent="0.35">
      <c r="A233">
        <v>2018</v>
      </c>
      <c r="B233" t="s">
        <v>29</v>
      </c>
      <c r="C233" t="s">
        <v>7</v>
      </c>
      <c r="D233" t="s">
        <v>32</v>
      </c>
      <c r="E233">
        <v>29.7</v>
      </c>
      <c r="F233" t="s">
        <v>50</v>
      </c>
    </row>
    <row r="234" spans="1:6" x14ac:dyDescent="0.35">
      <c r="A234">
        <v>2018</v>
      </c>
      <c r="B234" t="s">
        <v>29</v>
      </c>
      <c r="C234" t="s">
        <v>13</v>
      </c>
      <c r="D234" t="s">
        <v>34</v>
      </c>
      <c r="E234">
        <v>63.2</v>
      </c>
      <c r="F234" t="s">
        <v>50</v>
      </c>
    </row>
    <row r="235" spans="1:6" x14ac:dyDescent="0.35">
      <c r="A235">
        <v>2018</v>
      </c>
      <c r="B235" t="s">
        <v>29</v>
      </c>
      <c r="C235" t="s">
        <v>13</v>
      </c>
      <c r="D235" t="s">
        <v>32</v>
      </c>
      <c r="E235">
        <v>29.2</v>
      </c>
      <c r="F235" t="s">
        <v>50</v>
      </c>
    </row>
    <row r="236" spans="1:6" x14ac:dyDescent="0.35">
      <c r="A236">
        <v>2022</v>
      </c>
      <c r="B236" t="s">
        <v>6</v>
      </c>
      <c r="C236" t="s">
        <v>13</v>
      </c>
      <c r="D236" t="s">
        <v>31</v>
      </c>
      <c r="E236">
        <v>38</v>
      </c>
      <c r="F236" t="s">
        <v>51</v>
      </c>
    </row>
    <row r="237" spans="1:6" x14ac:dyDescent="0.35">
      <c r="A237">
        <v>2022</v>
      </c>
      <c r="B237" t="s">
        <v>6</v>
      </c>
      <c r="C237" t="s">
        <v>13</v>
      </c>
      <c r="D237" t="s">
        <v>32</v>
      </c>
      <c r="E237">
        <v>28</v>
      </c>
      <c r="F237" t="s">
        <v>51</v>
      </c>
    </row>
    <row r="238" spans="1:6" x14ac:dyDescent="0.35">
      <c r="A238">
        <v>2022</v>
      </c>
      <c r="B238" t="s">
        <v>19</v>
      </c>
      <c r="C238" t="s">
        <v>13</v>
      </c>
      <c r="D238" t="s">
        <v>31</v>
      </c>
      <c r="E238">
        <v>55</v>
      </c>
      <c r="F238" t="s">
        <v>51</v>
      </c>
    </row>
    <row r="239" spans="1:6" x14ac:dyDescent="0.35">
      <c r="A239">
        <v>2022</v>
      </c>
      <c r="B239" t="s">
        <v>19</v>
      </c>
      <c r="C239" t="s">
        <v>13</v>
      </c>
      <c r="D239" t="s">
        <v>32</v>
      </c>
      <c r="E239">
        <v>38</v>
      </c>
      <c r="F239" t="s">
        <v>51</v>
      </c>
    </row>
    <row r="240" spans="1:6" x14ac:dyDescent="0.35">
      <c r="A240">
        <v>2022</v>
      </c>
      <c r="B240" t="s">
        <v>22</v>
      </c>
      <c r="C240" t="s">
        <v>13</v>
      </c>
      <c r="D240" t="s">
        <v>31</v>
      </c>
      <c r="E240">
        <v>74</v>
      </c>
      <c r="F240" t="s">
        <v>51</v>
      </c>
    </row>
    <row r="241" spans="1:6" x14ac:dyDescent="0.35">
      <c r="A241">
        <v>2022</v>
      </c>
      <c r="B241" t="s">
        <v>22</v>
      </c>
      <c r="C241" t="s">
        <v>13</v>
      </c>
      <c r="D241" t="s">
        <v>32</v>
      </c>
      <c r="E241">
        <v>68</v>
      </c>
      <c r="F241" t="s">
        <v>51</v>
      </c>
    </row>
    <row r="242" spans="1:6" x14ac:dyDescent="0.35">
      <c r="A242">
        <v>2022</v>
      </c>
      <c r="B242" t="s">
        <v>20</v>
      </c>
      <c r="C242" t="s">
        <v>13</v>
      </c>
      <c r="D242" t="s">
        <v>31</v>
      </c>
      <c r="E242">
        <v>70</v>
      </c>
      <c r="F242" t="s">
        <v>51</v>
      </c>
    </row>
    <row r="243" spans="1:6" x14ac:dyDescent="0.35">
      <c r="A243">
        <v>2022</v>
      </c>
      <c r="B243" t="s">
        <v>20</v>
      </c>
      <c r="C243" t="s">
        <v>13</v>
      </c>
      <c r="D243" t="s">
        <v>32</v>
      </c>
      <c r="E243">
        <v>55</v>
      </c>
      <c r="F243" t="s">
        <v>51</v>
      </c>
    </row>
    <row r="244" spans="1:6" x14ac:dyDescent="0.35">
      <c r="A244">
        <v>2022</v>
      </c>
      <c r="B244" t="s">
        <v>24</v>
      </c>
      <c r="C244" t="s">
        <v>13</v>
      </c>
      <c r="D244" t="s">
        <v>31</v>
      </c>
      <c r="E244">
        <v>60</v>
      </c>
      <c r="F244" t="s">
        <v>51</v>
      </c>
    </row>
    <row r="245" spans="1:6" x14ac:dyDescent="0.35">
      <c r="A245">
        <v>2022</v>
      </c>
      <c r="B245" t="s">
        <v>24</v>
      </c>
      <c r="C245" t="s">
        <v>13</v>
      </c>
      <c r="D245" t="s">
        <v>32</v>
      </c>
      <c r="E245">
        <v>40</v>
      </c>
      <c r="F245" t="s">
        <v>51</v>
      </c>
    </row>
    <row r="246" spans="1:6" x14ac:dyDescent="0.35">
      <c r="A246">
        <v>2022</v>
      </c>
      <c r="B246" t="s">
        <v>28</v>
      </c>
      <c r="C246" t="s">
        <v>13</v>
      </c>
      <c r="D246" t="s">
        <v>31</v>
      </c>
      <c r="E246">
        <v>40</v>
      </c>
      <c r="F246" t="s">
        <v>51</v>
      </c>
    </row>
    <row r="247" spans="1:6" x14ac:dyDescent="0.35">
      <c r="A247">
        <v>2022</v>
      </c>
      <c r="B247" t="s">
        <v>28</v>
      </c>
      <c r="C247" t="s">
        <v>13</v>
      </c>
      <c r="D247" t="s">
        <v>32</v>
      </c>
      <c r="E247">
        <v>25</v>
      </c>
      <c r="F247" t="s">
        <v>51</v>
      </c>
    </row>
    <row r="248" spans="1:6" x14ac:dyDescent="0.35">
      <c r="A248">
        <v>2022</v>
      </c>
      <c r="B248" t="s">
        <v>25</v>
      </c>
      <c r="C248" t="s">
        <v>13</v>
      </c>
      <c r="D248" t="s">
        <v>31</v>
      </c>
      <c r="E248">
        <v>72</v>
      </c>
      <c r="F248" t="s">
        <v>51</v>
      </c>
    </row>
    <row r="249" spans="1:6" x14ac:dyDescent="0.35">
      <c r="A249">
        <v>2022</v>
      </c>
      <c r="B249" t="s">
        <v>25</v>
      </c>
      <c r="C249" t="s">
        <v>13</v>
      </c>
      <c r="D249" t="s">
        <v>32</v>
      </c>
      <c r="E249">
        <v>50</v>
      </c>
      <c r="F249" t="s">
        <v>51</v>
      </c>
    </row>
    <row r="250" spans="1:6" x14ac:dyDescent="0.35">
      <c r="A250">
        <v>2022</v>
      </c>
      <c r="B250" t="s">
        <v>26</v>
      </c>
      <c r="C250" t="s">
        <v>13</v>
      </c>
      <c r="D250" t="s">
        <v>31</v>
      </c>
      <c r="E250">
        <v>45</v>
      </c>
      <c r="F250" t="s">
        <v>51</v>
      </c>
    </row>
    <row r="251" spans="1:6" x14ac:dyDescent="0.35">
      <c r="A251">
        <v>2022</v>
      </c>
      <c r="B251" t="s">
        <v>26</v>
      </c>
      <c r="C251" t="s">
        <v>13</v>
      </c>
      <c r="D251" t="s">
        <v>32</v>
      </c>
      <c r="E251">
        <v>30</v>
      </c>
      <c r="F251" t="s">
        <v>51</v>
      </c>
    </row>
    <row r="252" spans="1:6" x14ac:dyDescent="0.35">
      <c r="A252">
        <v>2022</v>
      </c>
      <c r="B252" t="s">
        <v>27</v>
      </c>
      <c r="C252" t="s">
        <v>13</v>
      </c>
      <c r="D252" t="s">
        <v>31</v>
      </c>
      <c r="E252">
        <v>65</v>
      </c>
      <c r="F252" t="s">
        <v>51</v>
      </c>
    </row>
    <row r="253" spans="1:6" x14ac:dyDescent="0.35">
      <c r="A253">
        <v>2022</v>
      </c>
      <c r="B253" t="s">
        <v>27</v>
      </c>
      <c r="C253" t="s">
        <v>13</v>
      </c>
      <c r="D253" t="s">
        <v>32</v>
      </c>
      <c r="E253">
        <v>45</v>
      </c>
      <c r="F253" t="s">
        <v>51</v>
      </c>
    </row>
    <row r="254" spans="1:6" x14ac:dyDescent="0.35">
      <c r="A254">
        <v>2022</v>
      </c>
      <c r="B254" t="s">
        <v>29</v>
      </c>
      <c r="C254" t="s">
        <v>13</v>
      </c>
      <c r="D254" t="s">
        <v>31</v>
      </c>
      <c r="E254">
        <v>55</v>
      </c>
      <c r="F254" t="s">
        <v>51</v>
      </c>
    </row>
    <row r="255" spans="1:6" x14ac:dyDescent="0.35">
      <c r="A255">
        <v>2022</v>
      </c>
      <c r="B255" t="s">
        <v>29</v>
      </c>
      <c r="C255" t="s">
        <v>13</v>
      </c>
      <c r="D255" t="s">
        <v>32</v>
      </c>
      <c r="E255">
        <v>35</v>
      </c>
      <c r="F255" t="s">
        <v>51</v>
      </c>
    </row>
    <row r="256" spans="1:6" x14ac:dyDescent="0.35">
      <c r="A256">
        <v>2022</v>
      </c>
      <c r="B256" t="s">
        <v>23</v>
      </c>
      <c r="C256" t="s">
        <v>13</v>
      </c>
      <c r="D256" t="s">
        <v>31</v>
      </c>
      <c r="E256">
        <v>40</v>
      </c>
      <c r="F256" t="s">
        <v>51</v>
      </c>
    </row>
    <row r="257" spans="1:6" x14ac:dyDescent="0.35">
      <c r="A257">
        <v>2022</v>
      </c>
      <c r="B257" t="s">
        <v>23</v>
      </c>
      <c r="C257" t="s">
        <v>13</v>
      </c>
      <c r="D257" t="s">
        <v>32</v>
      </c>
      <c r="E257">
        <v>28</v>
      </c>
      <c r="F257" t="s">
        <v>51</v>
      </c>
    </row>
    <row r="258" spans="1:6" x14ac:dyDescent="0.35">
      <c r="A258">
        <v>2022</v>
      </c>
      <c r="B258" t="s">
        <v>21</v>
      </c>
      <c r="C258" t="s">
        <v>13</v>
      </c>
      <c r="D258" t="s">
        <v>31</v>
      </c>
      <c r="E258">
        <v>38</v>
      </c>
      <c r="F258" t="s">
        <v>51</v>
      </c>
    </row>
    <row r="259" spans="1:6" x14ac:dyDescent="0.35">
      <c r="A259">
        <v>2022</v>
      </c>
      <c r="B259" t="s">
        <v>21</v>
      </c>
      <c r="C259" t="s">
        <v>13</v>
      </c>
      <c r="D259" t="s">
        <v>32</v>
      </c>
      <c r="E259">
        <v>25</v>
      </c>
      <c r="F259" t="s">
        <v>51</v>
      </c>
    </row>
    <row r="260" spans="1:6" x14ac:dyDescent="0.35">
      <c r="A260">
        <v>2022</v>
      </c>
      <c r="B260" t="s">
        <v>18</v>
      </c>
      <c r="C260" t="s">
        <v>13</v>
      </c>
      <c r="D260" t="s">
        <v>31</v>
      </c>
      <c r="E260">
        <v>52</v>
      </c>
      <c r="F260" t="s">
        <v>51</v>
      </c>
    </row>
    <row r="261" spans="1:6" x14ac:dyDescent="0.35">
      <c r="A261">
        <v>2022</v>
      </c>
      <c r="B261" t="s">
        <v>18</v>
      </c>
      <c r="C261" t="s">
        <v>13</v>
      </c>
      <c r="D261" t="s">
        <v>32</v>
      </c>
      <c r="E261">
        <v>34</v>
      </c>
      <c r="F261" t="s">
        <v>51</v>
      </c>
    </row>
    <row r="262" spans="1:6" x14ac:dyDescent="0.35">
      <c r="A262">
        <v>2024</v>
      </c>
      <c r="B262" t="s">
        <v>6</v>
      </c>
      <c r="C262" t="s">
        <v>13</v>
      </c>
      <c r="D262" t="s">
        <v>31</v>
      </c>
      <c r="E262">
        <v>42</v>
      </c>
      <c r="F262" t="s">
        <v>52</v>
      </c>
    </row>
    <row r="263" spans="1:6" x14ac:dyDescent="0.35">
      <c r="A263">
        <v>2024</v>
      </c>
      <c r="B263" t="s">
        <v>6</v>
      </c>
      <c r="C263" t="s">
        <v>13</v>
      </c>
      <c r="D263" t="s">
        <v>32</v>
      </c>
      <c r="E263">
        <v>30</v>
      </c>
      <c r="F263" t="s">
        <v>52</v>
      </c>
    </row>
    <row r="264" spans="1:6" x14ac:dyDescent="0.35">
      <c r="A264">
        <v>2024</v>
      </c>
      <c r="B264" t="s">
        <v>19</v>
      </c>
      <c r="C264" t="s">
        <v>13</v>
      </c>
      <c r="D264" t="s">
        <v>31</v>
      </c>
      <c r="E264">
        <v>60</v>
      </c>
      <c r="F264" t="s">
        <v>52</v>
      </c>
    </row>
    <row r="265" spans="1:6" x14ac:dyDescent="0.35">
      <c r="A265">
        <v>2024</v>
      </c>
      <c r="B265" t="s">
        <v>19</v>
      </c>
      <c r="C265" t="s">
        <v>13</v>
      </c>
      <c r="D265" t="s">
        <v>32</v>
      </c>
      <c r="E265">
        <v>42</v>
      </c>
      <c r="F265" t="s">
        <v>52</v>
      </c>
    </row>
    <row r="266" spans="1:6" x14ac:dyDescent="0.35">
      <c r="A266">
        <v>2024</v>
      </c>
      <c r="B266" t="s">
        <v>22</v>
      </c>
      <c r="C266" t="s">
        <v>13</v>
      </c>
      <c r="D266" t="s">
        <v>31</v>
      </c>
      <c r="E266">
        <v>78</v>
      </c>
      <c r="F266" t="s">
        <v>52</v>
      </c>
    </row>
    <row r="267" spans="1:6" x14ac:dyDescent="0.35">
      <c r="A267">
        <v>2024</v>
      </c>
      <c r="B267" t="s">
        <v>22</v>
      </c>
      <c r="C267" t="s">
        <v>13</v>
      </c>
      <c r="D267" t="s">
        <v>32</v>
      </c>
      <c r="E267">
        <v>70</v>
      </c>
      <c r="F267" t="s">
        <v>52</v>
      </c>
    </row>
    <row r="268" spans="1:6" x14ac:dyDescent="0.35">
      <c r="A268">
        <v>2024</v>
      </c>
      <c r="B268" t="s">
        <v>20</v>
      </c>
      <c r="C268" t="s">
        <v>13</v>
      </c>
      <c r="D268" t="s">
        <v>31</v>
      </c>
      <c r="E268">
        <v>74</v>
      </c>
      <c r="F268" t="s">
        <v>52</v>
      </c>
    </row>
    <row r="269" spans="1:6" x14ac:dyDescent="0.35">
      <c r="A269">
        <v>2024</v>
      </c>
      <c r="B269" t="s">
        <v>20</v>
      </c>
      <c r="C269" t="s">
        <v>13</v>
      </c>
      <c r="D269" t="s">
        <v>32</v>
      </c>
      <c r="E269">
        <v>58</v>
      </c>
      <c r="F269" t="s">
        <v>52</v>
      </c>
    </row>
    <row r="270" spans="1:6" x14ac:dyDescent="0.35">
      <c r="A270">
        <v>2024</v>
      </c>
      <c r="B270" t="s">
        <v>24</v>
      </c>
      <c r="C270" t="s">
        <v>13</v>
      </c>
      <c r="D270" t="s">
        <v>31</v>
      </c>
      <c r="E270">
        <v>65</v>
      </c>
      <c r="F270" t="s">
        <v>52</v>
      </c>
    </row>
    <row r="271" spans="1:6" x14ac:dyDescent="0.35">
      <c r="A271">
        <v>2024</v>
      </c>
      <c r="B271" t="s">
        <v>24</v>
      </c>
      <c r="C271" t="s">
        <v>13</v>
      </c>
      <c r="D271" t="s">
        <v>32</v>
      </c>
      <c r="E271">
        <v>45</v>
      </c>
      <c r="F271" t="s">
        <v>52</v>
      </c>
    </row>
    <row r="272" spans="1:6" x14ac:dyDescent="0.35">
      <c r="A272">
        <v>2024</v>
      </c>
      <c r="B272" t="s">
        <v>28</v>
      </c>
      <c r="C272" t="s">
        <v>13</v>
      </c>
      <c r="D272" t="s">
        <v>31</v>
      </c>
      <c r="E272">
        <v>44</v>
      </c>
      <c r="F272" t="s">
        <v>52</v>
      </c>
    </row>
    <row r="273" spans="1:6" x14ac:dyDescent="0.35">
      <c r="A273">
        <v>2024</v>
      </c>
      <c r="B273" t="s">
        <v>28</v>
      </c>
      <c r="C273" t="s">
        <v>13</v>
      </c>
      <c r="D273" t="s">
        <v>32</v>
      </c>
      <c r="E273">
        <v>28</v>
      </c>
      <c r="F273" t="s">
        <v>52</v>
      </c>
    </row>
    <row r="274" spans="1:6" x14ac:dyDescent="0.35">
      <c r="A274">
        <v>2024</v>
      </c>
      <c r="B274" t="s">
        <v>25</v>
      </c>
      <c r="C274" t="s">
        <v>13</v>
      </c>
      <c r="D274" t="s">
        <v>31</v>
      </c>
      <c r="E274">
        <v>75</v>
      </c>
      <c r="F274" t="s">
        <v>52</v>
      </c>
    </row>
    <row r="275" spans="1:6" x14ac:dyDescent="0.35">
      <c r="A275">
        <v>2024</v>
      </c>
      <c r="B275" t="s">
        <v>25</v>
      </c>
      <c r="C275" t="s">
        <v>13</v>
      </c>
      <c r="D275" t="s">
        <v>32</v>
      </c>
      <c r="E275">
        <v>55</v>
      </c>
      <c r="F275" t="s">
        <v>52</v>
      </c>
    </row>
    <row r="276" spans="1:6" x14ac:dyDescent="0.35">
      <c r="A276">
        <v>2024</v>
      </c>
      <c r="B276" t="s">
        <v>26</v>
      </c>
      <c r="C276" t="s">
        <v>13</v>
      </c>
      <c r="D276" t="s">
        <v>31</v>
      </c>
      <c r="E276">
        <v>48</v>
      </c>
      <c r="F276" t="s">
        <v>52</v>
      </c>
    </row>
    <row r="277" spans="1:6" x14ac:dyDescent="0.35">
      <c r="A277">
        <v>2024</v>
      </c>
      <c r="B277" t="s">
        <v>26</v>
      </c>
      <c r="C277" t="s">
        <v>13</v>
      </c>
      <c r="D277" t="s">
        <v>32</v>
      </c>
      <c r="E277">
        <v>32</v>
      </c>
      <c r="F277" t="s">
        <v>52</v>
      </c>
    </row>
    <row r="278" spans="1:6" x14ac:dyDescent="0.35">
      <c r="A278">
        <v>2024</v>
      </c>
      <c r="B278" t="s">
        <v>27</v>
      </c>
      <c r="C278" t="s">
        <v>13</v>
      </c>
      <c r="D278" t="s">
        <v>31</v>
      </c>
      <c r="E278">
        <v>68</v>
      </c>
      <c r="F278" t="s">
        <v>52</v>
      </c>
    </row>
    <row r="279" spans="1:6" x14ac:dyDescent="0.35">
      <c r="A279">
        <v>2024</v>
      </c>
      <c r="B279" t="s">
        <v>27</v>
      </c>
      <c r="C279" t="s">
        <v>13</v>
      </c>
      <c r="D279" t="s">
        <v>32</v>
      </c>
      <c r="E279">
        <v>48</v>
      </c>
      <c r="F279" t="s">
        <v>52</v>
      </c>
    </row>
    <row r="280" spans="1:6" x14ac:dyDescent="0.35">
      <c r="A280">
        <v>2024</v>
      </c>
      <c r="B280" t="s">
        <v>29</v>
      </c>
      <c r="C280" t="s">
        <v>13</v>
      </c>
      <c r="D280" t="s">
        <v>31</v>
      </c>
      <c r="E280">
        <v>58</v>
      </c>
      <c r="F280" t="s">
        <v>52</v>
      </c>
    </row>
    <row r="281" spans="1:6" x14ac:dyDescent="0.35">
      <c r="A281">
        <v>2024</v>
      </c>
      <c r="B281" t="s">
        <v>29</v>
      </c>
      <c r="C281" t="s">
        <v>13</v>
      </c>
      <c r="D281" t="s">
        <v>32</v>
      </c>
      <c r="E281">
        <v>38</v>
      </c>
      <c r="F281" t="s">
        <v>52</v>
      </c>
    </row>
    <row r="282" spans="1:6" x14ac:dyDescent="0.35">
      <c r="A282">
        <v>2024</v>
      </c>
      <c r="B282" t="s">
        <v>23</v>
      </c>
      <c r="C282" t="s">
        <v>13</v>
      </c>
      <c r="D282" t="s">
        <v>31</v>
      </c>
      <c r="E282">
        <v>43</v>
      </c>
      <c r="F282" t="s">
        <v>52</v>
      </c>
    </row>
    <row r="283" spans="1:6" x14ac:dyDescent="0.35">
      <c r="A283">
        <v>2024</v>
      </c>
      <c r="B283" t="s">
        <v>23</v>
      </c>
      <c r="C283" t="s">
        <v>13</v>
      </c>
      <c r="D283" t="s">
        <v>32</v>
      </c>
      <c r="E283">
        <v>30</v>
      </c>
      <c r="F283" t="s">
        <v>52</v>
      </c>
    </row>
    <row r="284" spans="1:6" x14ac:dyDescent="0.35">
      <c r="A284">
        <v>2024</v>
      </c>
      <c r="B284" t="s">
        <v>21</v>
      </c>
      <c r="C284" t="s">
        <v>13</v>
      </c>
      <c r="D284" t="s">
        <v>31</v>
      </c>
      <c r="E284">
        <v>40</v>
      </c>
      <c r="F284" t="s">
        <v>52</v>
      </c>
    </row>
    <row r="285" spans="1:6" x14ac:dyDescent="0.35">
      <c r="A285">
        <v>2024</v>
      </c>
      <c r="B285" t="s">
        <v>21</v>
      </c>
      <c r="C285" t="s">
        <v>13</v>
      </c>
      <c r="D285" t="s">
        <v>32</v>
      </c>
      <c r="E285">
        <v>28</v>
      </c>
      <c r="F285" t="s">
        <v>52</v>
      </c>
    </row>
    <row r="286" spans="1:6" x14ac:dyDescent="0.35">
      <c r="A286">
        <v>2024</v>
      </c>
      <c r="B286" t="s">
        <v>18</v>
      </c>
      <c r="C286" t="s">
        <v>13</v>
      </c>
      <c r="D286" t="s">
        <v>31</v>
      </c>
      <c r="E286">
        <v>55</v>
      </c>
      <c r="F286" t="s">
        <v>52</v>
      </c>
    </row>
    <row r="287" spans="1:6" x14ac:dyDescent="0.35">
      <c r="A287">
        <v>2024</v>
      </c>
      <c r="B287" t="s">
        <v>18</v>
      </c>
      <c r="C287" t="s">
        <v>13</v>
      </c>
      <c r="D287" t="s">
        <v>32</v>
      </c>
      <c r="E287">
        <v>36</v>
      </c>
      <c r="F287" t="s">
        <v>52</v>
      </c>
    </row>
    <row r="288" spans="1:6" x14ac:dyDescent="0.35">
      <c r="A288">
        <v>2024</v>
      </c>
      <c r="B288" t="s">
        <v>33</v>
      </c>
      <c r="C288" t="s">
        <v>7</v>
      </c>
      <c r="D288" t="s">
        <v>31</v>
      </c>
      <c r="E288">
        <v>27</v>
      </c>
      <c r="F288" t="s">
        <v>52</v>
      </c>
    </row>
    <row r="289" spans="1:6" x14ac:dyDescent="0.35">
      <c r="A289">
        <v>2024</v>
      </c>
      <c r="B289" t="s">
        <v>33</v>
      </c>
      <c r="C289" t="s">
        <v>7</v>
      </c>
      <c r="D289" t="s">
        <v>34</v>
      </c>
      <c r="E289">
        <v>25</v>
      </c>
      <c r="F289" t="s">
        <v>52</v>
      </c>
    </row>
    <row r="290" spans="1:6" x14ac:dyDescent="0.35">
      <c r="A290">
        <v>2024</v>
      </c>
      <c r="B290" t="s">
        <v>33</v>
      </c>
      <c r="C290" t="s">
        <v>13</v>
      </c>
      <c r="D290" t="s">
        <v>31</v>
      </c>
      <c r="E290">
        <v>48</v>
      </c>
      <c r="F290" t="s">
        <v>52</v>
      </c>
    </row>
    <row r="291" spans="1:6" x14ac:dyDescent="0.35">
      <c r="A291">
        <v>2024</v>
      </c>
      <c r="B291" t="s">
        <v>33</v>
      </c>
      <c r="C291" t="s">
        <v>13</v>
      </c>
      <c r="D291" t="s">
        <v>32</v>
      </c>
      <c r="E291">
        <v>30</v>
      </c>
      <c r="F291" t="s">
        <v>52</v>
      </c>
    </row>
    <row r="292" spans="1:6" x14ac:dyDescent="0.35">
      <c r="A292">
        <v>2024</v>
      </c>
      <c r="B292" t="s">
        <v>33</v>
      </c>
      <c r="C292" t="s">
        <v>35</v>
      </c>
      <c r="D292" t="s">
        <v>31</v>
      </c>
      <c r="E292">
        <v>73</v>
      </c>
      <c r="F292" t="s">
        <v>52</v>
      </c>
    </row>
    <row r="293" spans="1:6" x14ac:dyDescent="0.35">
      <c r="A293">
        <v>2024</v>
      </c>
      <c r="B293" t="s">
        <v>33</v>
      </c>
      <c r="C293" t="s">
        <v>35</v>
      </c>
      <c r="D293" t="s">
        <v>32</v>
      </c>
      <c r="E293">
        <v>44</v>
      </c>
      <c r="F293"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B55B-54F6-4032-9D2B-934F79BBAAA6}">
  <dimension ref="A1:A10"/>
  <sheetViews>
    <sheetView workbookViewId="0">
      <selection activeCell="A15" sqref="A15"/>
    </sheetView>
  </sheetViews>
  <sheetFormatPr defaultRowHeight="14.5" x14ac:dyDescent="0.35"/>
  <cols>
    <col min="1" max="1" width="54.08984375" customWidth="1"/>
  </cols>
  <sheetData>
    <row r="1" spans="1:1" ht="21" x14ac:dyDescent="0.5">
      <c r="A1" s="2" t="s">
        <v>37</v>
      </c>
    </row>
    <row r="3" spans="1:1" ht="15.5" x14ac:dyDescent="0.35">
      <c r="A3" s="3" t="s">
        <v>38</v>
      </c>
    </row>
    <row r="4" spans="1:1" ht="15.5" x14ac:dyDescent="0.35">
      <c r="A4" s="3" t="s">
        <v>39</v>
      </c>
    </row>
    <row r="5" spans="1:1" ht="15.5" x14ac:dyDescent="0.35">
      <c r="A5" s="3" t="s">
        <v>40</v>
      </c>
    </row>
    <row r="6" spans="1:1" ht="15.5" x14ac:dyDescent="0.35">
      <c r="A6" s="3" t="s">
        <v>41</v>
      </c>
    </row>
    <row r="7" spans="1:1" ht="15.5" x14ac:dyDescent="0.35">
      <c r="A7" s="3" t="s">
        <v>42</v>
      </c>
    </row>
    <row r="8" spans="1:1" ht="15.5" x14ac:dyDescent="0.35">
      <c r="A8" s="3" t="s">
        <v>43</v>
      </c>
    </row>
    <row r="9" spans="1:1" ht="15.5" x14ac:dyDescent="0.35">
      <c r="A9" s="3" t="s">
        <v>44</v>
      </c>
    </row>
    <row r="10" spans="1:1" ht="15.5" x14ac:dyDescent="0.35">
      <c r="A10" s="3"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9C66A-D352-469E-8BF8-980E3F8B1173}">
  <dimension ref="A1:H21"/>
  <sheetViews>
    <sheetView workbookViewId="0">
      <selection activeCell="B18" sqref="B18"/>
    </sheetView>
  </sheetViews>
  <sheetFormatPr defaultRowHeight="14.5" x14ac:dyDescent="0.35"/>
  <cols>
    <col min="1" max="1" width="46.1796875" customWidth="1"/>
  </cols>
  <sheetData>
    <row r="1" spans="1:8" ht="26" x14ac:dyDescent="0.6">
      <c r="A1" s="16" t="s">
        <v>53</v>
      </c>
      <c r="B1" s="16"/>
      <c r="C1" s="16"/>
      <c r="D1" s="16"/>
      <c r="E1" s="16"/>
      <c r="F1" s="16"/>
      <c r="G1" s="16"/>
      <c r="H1" s="16"/>
    </row>
    <row r="2" spans="1:8" x14ac:dyDescent="0.35">
      <c r="A2" s="17" t="s">
        <v>54</v>
      </c>
      <c r="B2" s="17"/>
      <c r="C2" s="17"/>
      <c r="D2" s="17"/>
      <c r="E2" s="17"/>
      <c r="F2" s="17"/>
      <c r="G2" s="17"/>
      <c r="H2" s="17"/>
    </row>
    <row r="4" spans="1:8" ht="15.5" x14ac:dyDescent="0.35">
      <c r="A4" s="6" t="s">
        <v>55</v>
      </c>
    </row>
    <row r="5" spans="1:8" x14ac:dyDescent="0.35">
      <c r="A5" s="7">
        <f>AVERAGEIFS(Master_Sheet!E:E,Master_Sheet!D:D,"Reading_Std2")</f>
        <v>55.241379310344826</v>
      </c>
    </row>
    <row r="8" spans="1:8" x14ac:dyDescent="0.35">
      <c r="A8" s="8" t="s">
        <v>62</v>
      </c>
    </row>
    <row r="9" spans="1:8" x14ac:dyDescent="0.35">
      <c r="A9" s="9">
        <f>AVERAGEIFS(Master_Sheet!E:E, Master_Sheet!D:D, "Math_Division")</f>
        <v>36.828301886792453</v>
      </c>
    </row>
    <row r="13" spans="1:8" x14ac:dyDescent="0.35">
      <c r="A13" s="10" t="s">
        <v>59</v>
      </c>
    </row>
    <row r="14" spans="1:8" x14ac:dyDescent="0.35">
      <c r="A14" s="11" t="s">
        <v>22</v>
      </c>
    </row>
    <row r="16" spans="1:8" x14ac:dyDescent="0.35">
      <c r="A16" s="12" t="s">
        <v>60</v>
      </c>
    </row>
    <row r="17" spans="1:1" x14ac:dyDescent="0.35">
      <c r="A17" s="13" t="s">
        <v>6</v>
      </c>
    </row>
    <row r="20" spans="1:1" x14ac:dyDescent="0.35">
      <c r="A20" s="14" t="s">
        <v>61</v>
      </c>
    </row>
    <row r="21" spans="1:1" x14ac:dyDescent="0.35">
      <c r="A21" s="15">
        <f>AVERAGEIFS(Master_Sheet!E:E,Master_Sheet!A:A,2024) -
 AVERAGEIFS(Master_Sheet!E:E,Master_Sheet!A:A,2022)</f>
        <v>1.6850961538461533</v>
      </c>
    </row>
  </sheetData>
  <mergeCells count="2">
    <mergeCell ref="A1:H1"/>
    <mergeCell ref="A2:H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9FC0-6B86-4AB6-83CE-A4BF173AA121}">
  <dimension ref="A1:F131"/>
  <sheetViews>
    <sheetView workbookViewId="0">
      <pane ySplit="1" topLeftCell="A2" activePane="bottomLeft" state="frozen"/>
      <selection pane="bottomLeft" activeCell="I58" sqref="I58"/>
    </sheetView>
  </sheetViews>
  <sheetFormatPr defaultRowHeight="14.5" x14ac:dyDescent="0.35"/>
  <cols>
    <col min="1" max="1" width="17.453125" customWidth="1"/>
    <col min="2" max="2" width="17.7265625" customWidth="1"/>
    <col min="3" max="3" width="15.1796875" customWidth="1"/>
    <col min="4" max="4" width="16.453125" customWidth="1"/>
    <col min="5" max="5" width="14.6328125" customWidth="1"/>
    <col min="6" max="6" width="13.90625" customWidth="1"/>
  </cols>
  <sheetData>
    <row r="1" spans="1:6" x14ac:dyDescent="0.35">
      <c r="A1" s="1" t="s">
        <v>0</v>
      </c>
      <c r="B1" s="1" t="s">
        <v>1</v>
      </c>
      <c r="C1" s="1" t="s">
        <v>2</v>
      </c>
      <c r="D1" s="1" t="s">
        <v>3</v>
      </c>
      <c r="E1" s="1" t="s">
        <v>4</v>
      </c>
      <c r="F1" s="1" t="s">
        <v>5</v>
      </c>
    </row>
    <row r="2" spans="1:6" x14ac:dyDescent="0.35">
      <c r="A2">
        <v>2014</v>
      </c>
      <c r="B2" t="s">
        <v>6</v>
      </c>
      <c r="C2" t="s">
        <v>7</v>
      </c>
      <c r="D2" t="s">
        <v>8</v>
      </c>
      <c r="E2" t="s">
        <v>9</v>
      </c>
      <c r="F2">
        <v>26.7</v>
      </c>
    </row>
    <row r="3" spans="1:6" x14ac:dyDescent="0.35">
      <c r="A3">
        <v>2014</v>
      </c>
      <c r="B3" t="s">
        <v>6</v>
      </c>
      <c r="C3" t="s">
        <v>7</v>
      </c>
      <c r="D3" t="s">
        <v>8</v>
      </c>
      <c r="E3" t="s">
        <v>10</v>
      </c>
      <c r="F3">
        <v>22.7</v>
      </c>
    </row>
    <row r="4" spans="1:6" x14ac:dyDescent="0.35">
      <c r="A4">
        <v>2014</v>
      </c>
      <c r="B4" t="s">
        <v>6</v>
      </c>
      <c r="C4" t="s">
        <v>7</v>
      </c>
      <c r="D4" t="s">
        <v>8</v>
      </c>
      <c r="E4" t="s">
        <v>11</v>
      </c>
      <c r="F4">
        <v>17.7</v>
      </c>
    </row>
    <row r="5" spans="1:6" x14ac:dyDescent="0.35">
      <c r="A5">
        <v>2014</v>
      </c>
      <c r="B5" t="s">
        <v>6</v>
      </c>
      <c r="C5" t="s">
        <v>7</v>
      </c>
      <c r="D5" t="s">
        <v>8</v>
      </c>
      <c r="E5" t="s">
        <v>12</v>
      </c>
      <c r="F5">
        <v>10.4</v>
      </c>
    </row>
    <row r="6" spans="1:6" x14ac:dyDescent="0.35">
      <c r="A6">
        <v>2014</v>
      </c>
      <c r="B6" t="s">
        <v>6</v>
      </c>
      <c r="C6" t="s">
        <v>13</v>
      </c>
      <c r="D6" t="s">
        <v>8</v>
      </c>
      <c r="E6" t="s">
        <v>12</v>
      </c>
      <c r="F6">
        <v>33.299999999999997</v>
      </c>
    </row>
    <row r="7" spans="1:6" x14ac:dyDescent="0.35">
      <c r="A7">
        <v>2014</v>
      </c>
      <c r="B7" t="s">
        <v>6</v>
      </c>
      <c r="C7" t="s">
        <v>7</v>
      </c>
      <c r="D7" t="s">
        <v>14</v>
      </c>
      <c r="E7" t="s">
        <v>15</v>
      </c>
      <c r="F7">
        <v>52.7</v>
      </c>
    </row>
    <row r="8" spans="1:6" x14ac:dyDescent="0.35">
      <c r="A8">
        <v>2014</v>
      </c>
      <c r="B8" t="s">
        <v>6</v>
      </c>
      <c r="C8" t="s">
        <v>7</v>
      </c>
      <c r="D8" t="s">
        <v>14</v>
      </c>
      <c r="E8" t="s">
        <v>16</v>
      </c>
      <c r="F8">
        <v>26.8</v>
      </c>
    </row>
    <row r="9" spans="1:6" x14ac:dyDescent="0.35">
      <c r="A9">
        <v>2014</v>
      </c>
      <c r="B9" t="s">
        <v>6</v>
      </c>
      <c r="C9" t="s">
        <v>7</v>
      </c>
      <c r="D9" t="s">
        <v>14</v>
      </c>
      <c r="E9" t="s">
        <v>17</v>
      </c>
      <c r="F9">
        <v>14.1</v>
      </c>
    </row>
    <row r="10" spans="1:6" x14ac:dyDescent="0.35">
      <c r="A10">
        <v>2014</v>
      </c>
      <c r="B10" t="s">
        <v>6</v>
      </c>
      <c r="C10" t="s">
        <v>13</v>
      </c>
      <c r="D10" t="s">
        <v>14</v>
      </c>
      <c r="E10" t="s">
        <v>16</v>
      </c>
      <c r="F10">
        <v>46.8</v>
      </c>
    </row>
    <row r="11" spans="1:6" x14ac:dyDescent="0.35">
      <c r="A11">
        <v>2014</v>
      </c>
      <c r="B11" t="s">
        <v>6</v>
      </c>
      <c r="C11" t="s">
        <v>13</v>
      </c>
      <c r="D11" t="s">
        <v>14</v>
      </c>
      <c r="E11" t="s">
        <v>17</v>
      </c>
      <c r="F11">
        <v>28.8</v>
      </c>
    </row>
    <row r="12" spans="1:6" x14ac:dyDescent="0.35">
      <c r="A12">
        <v>2014</v>
      </c>
      <c r="B12" t="s">
        <v>18</v>
      </c>
      <c r="C12" t="s">
        <v>7</v>
      </c>
      <c r="D12" t="s">
        <v>8</v>
      </c>
      <c r="E12" t="s">
        <v>9</v>
      </c>
      <c r="F12">
        <v>21.5</v>
      </c>
    </row>
    <row r="13" spans="1:6" x14ac:dyDescent="0.35">
      <c r="A13">
        <v>2014</v>
      </c>
      <c r="B13" t="s">
        <v>18</v>
      </c>
      <c r="C13" t="s">
        <v>7</v>
      </c>
      <c r="D13" t="s">
        <v>8</v>
      </c>
      <c r="E13" t="s">
        <v>10</v>
      </c>
      <c r="F13">
        <v>27.1</v>
      </c>
    </row>
    <row r="14" spans="1:6" x14ac:dyDescent="0.35">
      <c r="A14">
        <v>2014</v>
      </c>
      <c r="B14" t="s">
        <v>18</v>
      </c>
      <c r="C14" t="s">
        <v>7</v>
      </c>
      <c r="D14" t="s">
        <v>8</v>
      </c>
      <c r="E14" t="s">
        <v>11</v>
      </c>
      <c r="F14">
        <v>25.4</v>
      </c>
    </row>
    <row r="15" spans="1:6" x14ac:dyDescent="0.35">
      <c r="A15">
        <v>2014</v>
      </c>
      <c r="B15" t="s">
        <v>18</v>
      </c>
      <c r="C15" t="s">
        <v>7</v>
      </c>
      <c r="D15" t="s">
        <v>8</v>
      </c>
      <c r="E15" t="s">
        <v>12</v>
      </c>
      <c r="F15">
        <v>11.3</v>
      </c>
    </row>
    <row r="16" spans="1:6" x14ac:dyDescent="0.35">
      <c r="A16">
        <v>2014</v>
      </c>
      <c r="B16" t="s">
        <v>18</v>
      </c>
      <c r="C16" t="s">
        <v>13</v>
      </c>
      <c r="D16" t="s">
        <v>8</v>
      </c>
      <c r="E16" t="s">
        <v>12</v>
      </c>
      <c r="F16">
        <v>43.5</v>
      </c>
    </row>
    <row r="17" spans="1:6" x14ac:dyDescent="0.35">
      <c r="A17">
        <v>2014</v>
      </c>
      <c r="B17" t="s">
        <v>18</v>
      </c>
      <c r="C17" t="s">
        <v>7</v>
      </c>
      <c r="D17" t="s">
        <v>14</v>
      </c>
      <c r="E17" t="s">
        <v>15</v>
      </c>
      <c r="F17">
        <v>65.3</v>
      </c>
    </row>
    <row r="18" spans="1:6" x14ac:dyDescent="0.35">
      <c r="A18">
        <v>2014</v>
      </c>
      <c r="B18" t="s">
        <v>18</v>
      </c>
      <c r="C18" t="s">
        <v>7</v>
      </c>
      <c r="D18" t="s">
        <v>14</v>
      </c>
      <c r="E18" t="s">
        <v>16</v>
      </c>
      <c r="F18">
        <v>42.5</v>
      </c>
    </row>
    <row r="19" spans="1:6" x14ac:dyDescent="0.35">
      <c r="A19">
        <v>2014</v>
      </c>
      <c r="B19" t="s">
        <v>18</v>
      </c>
      <c r="C19" t="s">
        <v>7</v>
      </c>
      <c r="D19" t="s">
        <v>14</v>
      </c>
      <c r="E19" t="s">
        <v>17</v>
      </c>
      <c r="F19">
        <v>24.3</v>
      </c>
    </row>
    <row r="20" spans="1:6" x14ac:dyDescent="0.35">
      <c r="A20">
        <v>2014</v>
      </c>
      <c r="B20" t="s">
        <v>18</v>
      </c>
      <c r="C20" t="s">
        <v>13</v>
      </c>
      <c r="D20" t="s">
        <v>14</v>
      </c>
      <c r="E20" t="s">
        <v>16</v>
      </c>
      <c r="F20">
        <v>66.7</v>
      </c>
    </row>
    <row r="21" spans="1:6" x14ac:dyDescent="0.35">
      <c r="A21">
        <v>2014</v>
      </c>
      <c r="B21" t="s">
        <v>18</v>
      </c>
      <c r="C21" t="s">
        <v>13</v>
      </c>
      <c r="D21" t="s">
        <v>14</v>
      </c>
      <c r="E21" t="s">
        <v>17</v>
      </c>
      <c r="F21">
        <v>41.6</v>
      </c>
    </row>
    <row r="22" spans="1:6" x14ac:dyDescent="0.35">
      <c r="A22">
        <v>2014</v>
      </c>
      <c r="B22" t="s">
        <v>19</v>
      </c>
      <c r="C22" t="s">
        <v>7</v>
      </c>
      <c r="D22" t="s">
        <v>8</v>
      </c>
      <c r="E22" t="s">
        <v>9</v>
      </c>
      <c r="F22">
        <v>14.2</v>
      </c>
    </row>
    <row r="23" spans="1:6" x14ac:dyDescent="0.35">
      <c r="A23">
        <v>2014</v>
      </c>
      <c r="B23" t="s">
        <v>19</v>
      </c>
      <c r="C23" t="s">
        <v>7</v>
      </c>
      <c r="D23" t="s">
        <v>8</v>
      </c>
      <c r="E23" t="s">
        <v>10</v>
      </c>
      <c r="F23">
        <v>24.8</v>
      </c>
    </row>
    <row r="24" spans="1:6" x14ac:dyDescent="0.35">
      <c r="A24">
        <v>2014</v>
      </c>
      <c r="B24" t="s">
        <v>19</v>
      </c>
      <c r="C24" t="s">
        <v>7</v>
      </c>
      <c r="D24" t="s">
        <v>8</v>
      </c>
      <c r="E24" t="s">
        <v>11</v>
      </c>
      <c r="F24">
        <v>28.5</v>
      </c>
    </row>
    <row r="25" spans="1:6" x14ac:dyDescent="0.35">
      <c r="A25">
        <v>2014</v>
      </c>
      <c r="B25" t="s">
        <v>19</v>
      </c>
      <c r="C25" t="s">
        <v>7</v>
      </c>
      <c r="D25" t="s">
        <v>8</v>
      </c>
      <c r="E25" t="s">
        <v>12</v>
      </c>
      <c r="F25">
        <v>15.7</v>
      </c>
    </row>
    <row r="26" spans="1:6" x14ac:dyDescent="0.35">
      <c r="A26">
        <v>2014</v>
      </c>
      <c r="B26" t="s">
        <v>19</v>
      </c>
      <c r="C26" t="s">
        <v>13</v>
      </c>
      <c r="D26" t="s">
        <v>8</v>
      </c>
      <c r="E26" t="s">
        <v>12</v>
      </c>
      <c r="F26">
        <v>48.2</v>
      </c>
    </row>
    <row r="27" spans="1:6" x14ac:dyDescent="0.35">
      <c r="A27">
        <v>2014</v>
      </c>
      <c r="B27" t="s">
        <v>19</v>
      </c>
      <c r="C27" t="s">
        <v>7</v>
      </c>
      <c r="D27" t="s">
        <v>14</v>
      </c>
      <c r="E27" t="s">
        <v>15</v>
      </c>
      <c r="F27">
        <v>78.400000000000006</v>
      </c>
    </row>
    <row r="28" spans="1:6" x14ac:dyDescent="0.35">
      <c r="A28">
        <v>2014</v>
      </c>
      <c r="B28" t="s">
        <v>19</v>
      </c>
      <c r="C28" t="s">
        <v>7</v>
      </c>
      <c r="D28" t="s">
        <v>14</v>
      </c>
      <c r="E28" t="s">
        <v>16</v>
      </c>
      <c r="F28">
        <v>54.7</v>
      </c>
    </row>
    <row r="29" spans="1:6" x14ac:dyDescent="0.35">
      <c r="A29">
        <v>2014</v>
      </c>
      <c r="B29" t="s">
        <v>19</v>
      </c>
      <c r="C29" t="s">
        <v>7</v>
      </c>
      <c r="D29" t="s">
        <v>14</v>
      </c>
      <c r="E29" t="s">
        <v>17</v>
      </c>
      <c r="F29">
        <v>26.7</v>
      </c>
    </row>
    <row r="30" spans="1:6" x14ac:dyDescent="0.35">
      <c r="A30">
        <v>2014</v>
      </c>
      <c r="B30" t="s">
        <v>19</v>
      </c>
      <c r="C30" t="s">
        <v>13</v>
      </c>
      <c r="D30" t="s">
        <v>14</v>
      </c>
      <c r="E30" t="s">
        <v>16</v>
      </c>
      <c r="F30">
        <v>72.099999999999994</v>
      </c>
    </row>
    <row r="31" spans="1:6" x14ac:dyDescent="0.35">
      <c r="A31">
        <v>2014</v>
      </c>
      <c r="B31" t="s">
        <v>19</v>
      </c>
      <c r="C31" t="s">
        <v>13</v>
      </c>
      <c r="D31" t="s">
        <v>14</v>
      </c>
      <c r="E31" t="s">
        <v>17</v>
      </c>
      <c r="F31">
        <v>44.6</v>
      </c>
    </row>
    <row r="32" spans="1:6" x14ac:dyDescent="0.35">
      <c r="A32">
        <v>2014</v>
      </c>
      <c r="B32" t="s">
        <v>20</v>
      </c>
      <c r="C32" t="s">
        <v>7</v>
      </c>
      <c r="D32" t="s">
        <v>8</v>
      </c>
      <c r="E32" t="s">
        <v>9</v>
      </c>
      <c r="F32">
        <v>7.8</v>
      </c>
    </row>
    <row r="33" spans="1:6" x14ac:dyDescent="0.35">
      <c r="A33">
        <v>2014</v>
      </c>
      <c r="B33" t="s">
        <v>20</v>
      </c>
      <c r="C33" t="s">
        <v>7</v>
      </c>
      <c r="D33" t="s">
        <v>8</v>
      </c>
      <c r="E33" t="s">
        <v>10</v>
      </c>
      <c r="F33">
        <v>14.5</v>
      </c>
    </row>
    <row r="34" spans="1:6" x14ac:dyDescent="0.35">
      <c r="A34">
        <v>2014</v>
      </c>
      <c r="B34" t="s">
        <v>20</v>
      </c>
      <c r="C34" t="s">
        <v>7</v>
      </c>
      <c r="D34" t="s">
        <v>8</v>
      </c>
      <c r="E34" t="s">
        <v>11</v>
      </c>
      <c r="F34">
        <v>24.7</v>
      </c>
    </row>
    <row r="35" spans="1:6" x14ac:dyDescent="0.35">
      <c r="A35">
        <v>2014</v>
      </c>
      <c r="B35" t="s">
        <v>20</v>
      </c>
      <c r="C35" t="s">
        <v>7</v>
      </c>
      <c r="D35" t="s">
        <v>8</v>
      </c>
      <c r="E35" t="s">
        <v>12</v>
      </c>
      <c r="F35">
        <v>33.6</v>
      </c>
    </row>
    <row r="36" spans="1:6" x14ac:dyDescent="0.35">
      <c r="A36">
        <v>2014</v>
      </c>
      <c r="B36" t="s">
        <v>20</v>
      </c>
      <c r="C36" t="s">
        <v>13</v>
      </c>
      <c r="D36" t="s">
        <v>8</v>
      </c>
      <c r="E36" t="s">
        <v>12</v>
      </c>
      <c r="F36">
        <v>67.400000000000006</v>
      </c>
    </row>
    <row r="37" spans="1:6" x14ac:dyDescent="0.35">
      <c r="A37">
        <v>2014</v>
      </c>
      <c r="B37" t="s">
        <v>20</v>
      </c>
      <c r="C37" t="s">
        <v>7</v>
      </c>
      <c r="D37" t="s">
        <v>14</v>
      </c>
      <c r="E37" t="s">
        <v>15</v>
      </c>
      <c r="F37">
        <v>85.8</v>
      </c>
    </row>
    <row r="38" spans="1:6" x14ac:dyDescent="0.35">
      <c r="A38">
        <v>2014</v>
      </c>
      <c r="B38" t="s">
        <v>20</v>
      </c>
      <c r="C38" t="s">
        <v>7</v>
      </c>
      <c r="D38" t="s">
        <v>14</v>
      </c>
      <c r="E38" t="s">
        <v>16</v>
      </c>
      <c r="F38">
        <v>63.7</v>
      </c>
    </row>
    <row r="39" spans="1:6" x14ac:dyDescent="0.35">
      <c r="A39">
        <v>2014</v>
      </c>
      <c r="B39" t="s">
        <v>20</v>
      </c>
      <c r="C39" t="s">
        <v>7</v>
      </c>
      <c r="D39" t="s">
        <v>14</v>
      </c>
      <c r="E39" t="s">
        <v>17</v>
      </c>
      <c r="F39">
        <v>46.8</v>
      </c>
    </row>
    <row r="40" spans="1:6" x14ac:dyDescent="0.35">
      <c r="A40">
        <v>2014</v>
      </c>
      <c r="B40" t="s">
        <v>20</v>
      </c>
      <c r="C40" t="s">
        <v>13</v>
      </c>
      <c r="D40" t="s">
        <v>14</v>
      </c>
      <c r="E40" t="s">
        <v>16</v>
      </c>
      <c r="F40">
        <v>84.7</v>
      </c>
    </row>
    <row r="41" spans="1:6" x14ac:dyDescent="0.35">
      <c r="A41">
        <v>2014</v>
      </c>
      <c r="B41" t="s">
        <v>20</v>
      </c>
      <c r="C41" t="s">
        <v>13</v>
      </c>
      <c r="D41" t="s">
        <v>14</v>
      </c>
      <c r="E41" t="s">
        <v>17</v>
      </c>
      <c r="F41">
        <v>69.400000000000006</v>
      </c>
    </row>
    <row r="42" spans="1:6" x14ac:dyDescent="0.35">
      <c r="A42">
        <v>2014</v>
      </c>
      <c r="B42" t="s">
        <v>21</v>
      </c>
      <c r="C42" t="s">
        <v>7</v>
      </c>
      <c r="D42" t="s">
        <v>8</v>
      </c>
      <c r="E42" t="s">
        <v>9</v>
      </c>
      <c r="F42">
        <v>18.3</v>
      </c>
    </row>
    <row r="43" spans="1:6" x14ac:dyDescent="0.35">
      <c r="A43">
        <v>2014</v>
      </c>
      <c r="B43" t="s">
        <v>21</v>
      </c>
      <c r="C43" t="s">
        <v>7</v>
      </c>
      <c r="D43" t="s">
        <v>8</v>
      </c>
      <c r="E43" t="s">
        <v>10</v>
      </c>
      <c r="F43">
        <v>26.1</v>
      </c>
    </row>
    <row r="44" spans="1:6" x14ac:dyDescent="0.35">
      <c r="A44">
        <v>2014</v>
      </c>
      <c r="B44" t="s">
        <v>21</v>
      </c>
      <c r="C44" t="s">
        <v>7</v>
      </c>
      <c r="D44" t="s">
        <v>8</v>
      </c>
      <c r="E44" t="s">
        <v>11</v>
      </c>
      <c r="F44">
        <v>22.8</v>
      </c>
    </row>
    <row r="45" spans="1:6" x14ac:dyDescent="0.35">
      <c r="A45">
        <v>2014</v>
      </c>
      <c r="B45" t="s">
        <v>21</v>
      </c>
      <c r="C45" t="s">
        <v>7</v>
      </c>
      <c r="D45" t="s">
        <v>8</v>
      </c>
      <c r="E45" t="s">
        <v>12</v>
      </c>
      <c r="F45">
        <v>12.4</v>
      </c>
    </row>
    <row r="46" spans="1:6" x14ac:dyDescent="0.35">
      <c r="A46">
        <v>2014</v>
      </c>
      <c r="B46" t="s">
        <v>21</v>
      </c>
      <c r="C46" t="s">
        <v>13</v>
      </c>
      <c r="D46" t="s">
        <v>8</v>
      </c>
      <c r="E46" t="s">
        <v>12</v>
      </c>
      <c r="F46">
        <v>39.6</v>
      </c>
    </row>
    <row r="47" spans="1:6" x14ac:dyDescent="0.35">
      <c r="A47">
        <v>2014</v>
      </c>
      <c r="B47" t="s">
        <v>21</v>
      </c>
      <c r="C47" t="s">
        <v>7</v>
      </c>
      <c r="D47" t="s">
        <v>14</v>
      </c>
      <c r="E47" t="s">
        <v>15</v>
      </c>
      <c r="F47">
        <v>64.7</v>
      </c>
    </row>
    <row r="48" spans="1:6" x14ac:dyDescent="0.35">
      <c r="A48">
        <v>2014</v>
      </c>
      <c r="B48" t="s">
        <v>21</v>
      </c>
      <c r="C48" t="s">
        <v>7</v>
      </c>
      <c r="D48" t="s">
        <v>14</v>
      </c>
      <c r="E48" t="s">
        <v>16</v>
      </c>
      <c r="F48">
        <v>39.5</v>
      </c>
    </row>
    <row r="49" spans="1:6" x14ac:dyDescent="0.35">
      <c r="A49">
        <v>2014</v>
      </c>
      <c r="B49" t="s">
        <v>21</v>
      </c>
      <c r="C49" t="s">
        <v>7</v>
      </c>
      <c r="D49" t="s">
        <v>14</v>
      </c>
      <c r="E49" t="s">
        <v>17</v>
      </c>
      <c r="F49">
        <v>20.7</v>
      </c>
    </row>
    <row r="50" spans="1:6" x14ac:dyDescent="0.35">
      <c r="A50">
        <v>2014</v>
      </c>
      <c r="B50" t="s">
        <v>21</v>
      </c>
      <c r="C50" t="s">
        <v>13</v>
      </c>
      <c r="D50" t="s">
        <v>14</v>
      </c>
      <c r="E50" t="s">
        <v>16</v>
      </c>
      <c r="F50">
        <v>59.1</v>
      </c>
    </row>
    <row r="51" spans="1:6" x14ac:dyDescent="0.35">
      <c r="A51">
        <v>2014</v>
      </c>
      <c r="B51" t="s">
        <v>21</v>
      </c>
      <c r="C51" t="s">
        <v>13</v>
      </c>
      <c r="D51" t="s">
        <v>14</v>
      </c>
      <c r="E51" t="s">
        <v>17</v>
      </c>
      <c r="F51">
        <v>34.4</v>
      </c>
    </row>
    <row r="52" spans="1:6" x14ac:dyDescent="0.35">
      <c r="A52">
        <v>2014</v>
      </c>
      <c r="B52" t="s">
        <v>22</v>
      </c>
      <c r="C52" t="s">
        <v>7</v>
      </c>
      <c r="D52" t="s">
        <v>8</v>
      </c>
      <c r="E52" t="s">
        <v>9</v>
      </c>
      <c r="F52">
        <v>4.7</v>
      </c>
    </row>
    <row r="53" spans="1:6" x14ac:dyDescent="0.35">
      <c r="A53">
        <v>2014</v>
      </c>
      <c r="B53" t="s">
        <v>22</v>
      </c>
      <c r="C53" t="s">
        <v>7</v>
      </c>
      <c r="D53" t="s">
        <v>8</v>
      </c>
      <c r="E53" t="s">
        <v>10</v>
      </c>
      <c r="F53">
        <v>8.1</v>
      </c>
    </row>
    <row r="54" spans="1:6" x14ac:dyDescent="0.35">
      <c r="A54">
        <v>2014</v>
      </c>
      <c r="B54" t="s">
        <v>22</v>
      </c>
      <c r="C54" t="s">
        <v>7</v>
      </c>
      <c r="D54" t="s">
        <v>8</v>
      </c>
      <c r="E54" t="s">
        <v>11</v>
      </c>
      <c r="F54">
        <v>25.9</v>
      </c>
    </row>
    <row r="55" spans="1:6" x14ac:dyDescent="0.35">
      <c r="A55">
        <v>2014</v>
      </c>
      <c r="B55" t="s">
        <v>22</v>
      </c>
      <c r="C55" t="s">
        <v>7</v>
      </c>
      <c r="D55" t="s">
        <v>8</v>
      </c>
      <c r="E55" t="s">
        <v>12</v>
      </c>
      <c r="F55">
        <v>56.4</v>
      </c>
    </row>
    <row r="56" spans="1:6" x14ac:dyDescent="0.35">
      <c r="A56">
        <v>2014</v>
      </c>
      <c r="B56" t="s">
        <v>22</v>
      </c>
      <c r="C56" t="s">
        <v>13</v>
      </c>
      <c r="D56" t="s">
        <v>8</v>
      </c>
      <c r="E56" t="s">
        <v>12</v>
      </c>
      <c r="F56">
        <v>84.2</v>
      </c>
    </row>
    <row r="57" spans="1:6" x14ac:dyDescent="0.35">
      <c r="A57">
        <v>2014</v>
      </c>
      <c r="B57" t="s">
        <v>22</v>
      </c>
      <c r="C57" t="s">
        <v>7</v>
      </c>
      <c r="D57" t="s">
        <v>14</v>
      </c>
      <c r="E57" t="s">
        <v>15</v>
      </c>
      <c r="F57">
        <v>90.2</v>
      </c>
    </row>
    <row r="58" spans="1:6" x14ac:dyDescent="0.35">
      <c r="A58">
        <v>2014</v>
      </c>
      <c r="B58" t="s">
        <v>22</v>
      </c>
      <c r="C58" t="s">
        <v>7</v>
      </c>
      <c r="D58" t="s">
        <v>14</v>
      </c>
      <c r="E58" t="s">
        <v>16</v>
      </c>
      <c r="F58">
        <v>75.599999999999994</v>
      </c>
    </row>
    <row r="59" spans="1:6" x14ac:dyDescent="0.35">
      <c r="A59">
        <v>2014</v>
      </c>
      <c r="B59" t="s">
        <v>22</v>
      </c>
      <c r="C59" t="s">
        <v>7</v>
      </c>
      <c r="D59" t="s">
        <v>14</v>
      </c>
      <c r="E59" t="s">
        <v>17</v>
      </c>
      <c r="F59">
        <v>61.3</v>
      </c>
    </row>
    <row r="60" spans="1:6" x14ac:dyDescent="0.35">
      <c r="A60">
        <v>2014</v>
      </c>
      <c r="B60" t="s">
        <v>22</v>
      </c>
      <c r="C60" t="s">
        <v>13</v>
      </c>
      <c r="D60" t="s">
        <v>14</v>
      </c>
      <c r="E60" t="s">
        <v>16</v>
      </c>
      <c r="F60">
        <v>90.8</v>
      </c>
    </row>
    <row r="61" spans="1:6" x14ac:dyDescent="0.35">
      <c r="A61">
        <v>2014</v>
      </c>
      <c r="B61" t="s">
        <v>22</v>
      </c>
      <c r="C61" t="s">
        <v>13</v>
      </c>
      <c r="D61" t="s">
        <v>14</v>
      </c>
      <c r="E61" t="s">
        <v>17</v>
      </c>
      <c r="F61">
        <v>82.1</v>
      </c>
    </row>
    <row r="62" spans="1:6" x14ac:dyDescent="0.35">
      <c r="A62">
        <v>2014</v>
      </c>
      <c r="B62" t="s">
        <v>23</v>
      </c>
      <c r="C62" t="s">
        <v>7</v>
      </c>
      <c r="D62" t="s">
        <v>8</v>
      </c>
      <c r="E62" t="s">
        <v>9</v>
      </c>
      <c r="F62">
        <v>18.7</v>
      </c>
    </row>
    <row r="63" spans="1:6" x14ac:dyDescent="0.35">
      <c r="A63">
        <v>2014</v>
      </c>
      <c r="B63" t="s">
        <v>23</v>
      </c>
      <c r="C63" t="s">
        <v>7</v>
      </c>
      <c r="D63" t="s">
        <v>8</v>
      </c>
      <c r="E63" t="s">
        <v>10</v>
      </c>
      <c r="F63">
        <v>27.3</v>
      </c>
    </row>
    <row r="64" spans="1:6" x14ac:dyDescent="0.35">
      <c r="A64">
        <v>2014</v>
      </c>
      <c r="B64" t="s">
        <v>23</v>
      </c>
      <c r="C64" t="s">
        <v>7</v>
      </c>
      <c r="D64" t="s">
        <v>8</v>
      </c>
      <c r="E64" t="s">
        <v>11</v>
      </c>
      <c r="F64">
        <v>20.100000000000001</v>
      </c>
    </row>
    <row r="65" spans="1:6" x14ac:dyDescent="0.35">
      <c r="A65">
        <v>2014</v>
      </c>
      <c r="B65" t="s">
        <v>23</v>
      </c>
      <c r="C65" t="s">
        <v>7</v>
      </c>
      <c r="D65" t="s">
        <v>8</v>
      </c>
      <c r="E65" t="s">
        <v>12</v>
      </c>
      <c r="F65">
        <v>11.4</v>
      </c>
    </row>
    <row r="66" spans="1:6" x14ac:dyDescent="0.35">
      <c r="A66">
        <v>2014</v>
      </c>
      <c r="B66" t="s">
        <v>23</v>
      </c>
      <c r="C66" t="s">
        <v>13</v>
      </c>
      <c r="D66" t="s">
        <v>8</v>
      </c>
      <c r="E66" t="s">
        <v>12</v>
      </c>
      <c r="F66">
        <v>35.200000000000003</v>
      </c>
    </row>
    <row r="67" spans="1:6" x14ac:dyDescent="0.35">
      <c r="A67">
        <v>2014</v>
      </c>
      <c r="B67" t="s">
        <v>23</v>
      </c>
      <c r="C67" t="s">
        <v>7</v>
      </c>
      <c r="D67" t="s">
        <v>14</v>
      </c>
      <c r="E67" t="s">
        <v>15</v>
      </c>
      <c r="F67">
        <v>67.2</v>
      </c>
    </row>
    <row r="68" spans="1:6" x14ac:dyDescent="0.35">
      <c r="A68">
        <v>2014</v>
      </c>
      <c r="B68" t="s">
        <v>23</v>
      </c>
      <c r="C68" t="s">
        <v>7</v>
      </c>
      <c r="D68" t="s">
        <v>14</v>
      </c>
      <c r="E68" t="s">
        <v>16</v>
      </c>
      <c r="F68">
        <v>41.3</v>
      </c>
    </row>
    <row r="69" spans="1:6" x14ac:dyDescent="0.35">
      <c r="A69">
        <v>2014</v>
      </c>
      <c r="B69" t="s">
        <v>23</v>
      </c>
      <c r="C69" t="s">
        <v>7</v>
      </c>
      <c r="D69" t="s">
        <v>14</v>
      </c>
      <c r="E69" t="s">
        <v>17</v>
      </c>
      <c r="F69">
        <v>23.7</v>
      </c>
    </row>
    <row r="70" spans="1:6" x14ac:dyDescent="0.35">
      <c r="A70">
        <v>2014</v>
      </c>
      <c r="B70" t="s">
        <v>23</v>
      </c>
      <c r="C70" t="s">
        <v>13</v>
      </c>
      <c r="D70" t="s">
        <v>14</v>
      </c>
      <c r="E70" t="s">
        <v>16</v>
      </c>
      <c r="F70">
        <v>61.5</v>
      </c>
    </row>
    <row r="71" spans="1:6" x14ac:dyDescent="0.35">
      <c r="A71">
        <v>2014</v>
      </c>
      <c r="B71" t="s">
        <v>23</v>
      </c>
      <c r="C71" t="s">
        <v>13</v>
      </c>
      <c r="D71" t="s">
        <v>14</v>
      </c>
      <c r="E71" t="s">
        <v>17</v>
      </c>
      <c r="F71">
        <v>39.4</v>
      </c>
    </row>
    <row r="72" spans="1:6" x14ac:dyDescent="0.35">
      <c r="A72">
        <v>2014</v>
      </c>
      <c r="B72" t="s">
        <v>24</v>
      </c>
      <c r="C72" t="s">
        <v>7</v>
      </c>
      <c r="D72" t="s">
        <v>8</v>
      </c>
      <c r="E72" t="s">
        <v>9</v>
      </c>
      <c r="F72">
        <v>12.6</v>
      </c>
    </row>
    <row r="73" spans="1:6" x14ac:dyDescent="0.35">
      <c r="A73">
        <v>2014</v>
      </c>
      <c r="B73" t="s">
        <v>24</v>
      </c>
      <c r="C73" t="s">
        <v>7</v>
      </c>
      <c r="D73" t="s">
        <v>8</v>
      </c>
      <c r="E73" t="s">
        <v>10</v>
      </c>
      <c r="F73">
        <v>23.7</v>
      </c>
    </row>
    <row r="74" spans="1:6" x14ac:dyDescent="0.35">
      <c r="A74">
        <v>2014</v>
      </c>
      <c r="B74" t="s">
        <v>24</v>
      </c>
      <c r="C74" t="s">
        <v>7</v>
      </c>
      <c r="D74" t="s">
        <v>8</v>
      </c>
      <c r="E74" t="s">
        <v>11</v>
      </c>
      <c r="F74">
        <v>32.799999999999997</v>
      </c>
    </row>
    <row r="75" spans="1:6" x14ac:dyDescent="0.35">
      <c r="A75">
        <v>2014</v>
      </c>
      <c r="B75" t="s">
        <v>24</v>
      </c>
      <c r="C75" t="s">
        <v>7</v>
      </c>
      <c r="D75" t="s">
        <v>8</v>
      </c>
      <c r="E75" t="s">
        <v>12</v>
      </c>
      <c r="F75">
        <v>23.1</v>
      </c>
    </row>
    <row r="76" spans="1:6" x14ac:dyDescent="0.35">
      <c r="A76">
        <v>2014</v>
      </c>
      <c r="B76" t="s">
        <v>24</v>
      </c>
      <c r="C76" t="s">
        <v>13</v>
      </c>
      <c r="D76" t="s">
        <v>8</v>
      </c>
      <c r="E76" t="s">
        <v>12</v>
      </c>
      <c r="F76">
        <v>58.4</v>
      </c>
    </row>
    <row r="77" spans="1:6" x14ac:dyDescent="0.35">
      <c r="A77">
        <v>2014</v>
      </c>
      <c r="B77" t="s">
        <v>24</v>
      </c>
      <c r="C77" t="s">
        <v>7</v>
      </c>
      <c r="D77" t="s">
        <v>14</v>
      </c>
      <c r="E77" t="s">
        <v>15</v>
      </c>
      <c r="F77">
        <v>82.4</v>
      </c>
    </row>
    <row r="78" spans="1:6" x14ac:dyDescent="0.35">
      <c r="A78">
        <v>2014</v>
      </c>
      <c r="B78" t="s">
        <v>24</v>
      </c>
      <c r="C78" t="s">
        <v>7</v>
      </c>
      <c r="D78" t="s">
        <v>14</v>
      </c>
      <c r="E78" t="s">
        <v>16</v>
      </c>
      <c r="F78">
        <v>55.1</v>
      </c>
    </row>
    <row r="79" spans="1:6" x14ac:dyDescent="0.35">
      <c r="A79">
        <v>2014</v>
      </c>
      <c r="B79" t="s">
        <v>24</v>
      </c>
      <c r="C79" t="s">
        <v>7</v>
      </c>
      <c r="D79" t="s">
        <v>14</v>
      </c>
      <c r="E79" t="s">
        <v>17</v>
      </c>
      <c r="F79">
        <v>31.3</v>
      </c>
    </row>
    <row r="80" spans="1:6" x14ac:dyDescent="0.35">
      <c r="A80">
        <v>2014</v>
      </c>
      <c r="B80" t="s">
        <v>24</v>
      </c>
      <c r="C80" t="s">
        <v>13</v>
      </c>
      <c r="D80" t="s">
        <v>14</v>
      </c>
      <c r="E80" t="s">
        <v>16</v>
      </c>
      <c r="F80">
        <v>75.8</v>
      </c>
    </row>
    <row r="81" spans="1:6" x14ac:dyDescent="0.35">
      <c r="A81">
        <v>2014</v>
      </c>
      <c r="B81" t="s">
        <v>24</v>
      </c>
      <c r="C81" t="s">
        <v>13</v>
      </c>
      <c r="D81" t="s">
        <v>14</v>
      </c>
      <c r="E81" t="s">
        <v>17</v>
      </c>
      <c r="F81">
        <v>52.7</v>
      </c>
    </row>
    <row r="82" spans="1:6" x14ac:dyDescent="0.35">
      <c r="A82">
        <v>2014</v>
      </c>
      <c r="B82" t="s">
        <v>25</v>
      </c>
      <c r="C82" t="s">
        <v>7</v>
      </c>
      <c r="D82" t="s">
        <v>8</v>
      </c>
      <c r="E82" t="s">
        <v>9</v>
      </c>
      <c r="F82">
        <v>6.7</v>
      </c>
    </row>
    <row r="83" spans="1:6" x14ac:dyDescent="0.35">
      <c r="A83">
        <v>2014</v>
      </c>
      <c r="B83" t="s">
        <v>25</v>
      </c>
      <c r="C83" t="s">
        <v>7</v>
      </c>
      <c r="D83" t="s">
        <v>8</v>
      </c>
      <c r="E83" t="s">
        <v>10</v>
      </c>
      <c r="F83">
        <v>12.8</v>
      </c>
    </row>
    <row r="84" spans="1:6" x14ac:dyDescent="0.35">
      <c r="A84">
        <v>2014</v>
      </c>
      <c r="B84" t="s">
        <v>25</v>
      </c>
      <c r="C84" t="s">
        <v>7</v>
      </c>
      <c r="D84" t="s">
        <v>8</v>
      </c>
      <c r="E84" t="s">
        <v>11</v>
      </c>
      <c r="F84">
        <v>27.3</v>
      </c>
    </row>
    <row r="85" spans="1:6" x14ac:dyDescent="0.35">
      <c r="A85">
        <v>2014</v>
      </c>
      <c r="B85" t="s">
        <v>25</v>
      </c>
      <c r="C85" t="s">
        <v>7</v>
      </c>
      <c r="D85" t="s">
        <v>8</v>
      </c>
      <c r="E85" t="s">
        <v>12</v>
      </c>
      <c r="F85">
        <v>39.1</v>
      </c>
    </row>
    <row r="86" spans="1:6" x14ac:dyDescent="0.35">
      <c r="A86">
        <v>2014</v>
      </c>
      <c r="B86" t="s">
        <v>25</v>
      </c>
      <c r="C86" t="s">
        <v>13</v>
      </c>
      <c r="D86" t="s">
        <v>8</v>
      </c>
      <c r="E86" t="s">
        <v>12</v>
      </c>
      <c r="F86">
        <v>69.400000000000006</v>
      </c>
    </row>
    <row r="87" spans="1:6" x14ac:dyDescent="0.35">
      <c r="A87">
        <v>2014</v>
      </c>
      <c r="B87" t="s">
        <v>25</v>
      </c>
      <c r="C87" t="s">
        <v>7</v>
      </c>
      <c r="D87" t="s">
        <v>14</v>
      </c>
      <c r="E87" t="s">
        <v>15</v>
      </c>
      <c r="F87">
        <v>79.599999999999994</v>
      </c>
    </row>
    <row r="88" spans="1:6" x14ac:dyDescent="0.35">
      <c r="A88">
        <v>2014</v>
      </c>
      <c r="B88" t="s">
        <v>25</v>
      </c>
      <c r="C88" t="s">
        <v>7</v>
      </c>
      <c r="D88" t="s">
        <v>14</v>
      </c>
      <c r="E88" t="s">
        <v>16</v>
      </c>
      <c r="F88">
        <v>54.2</v>
      </c>
    </row>
    <row r="89" spans="1:6" x14ac:dyDescent="0.35">
      <c r="A89">
        <v>2014</v>
      </c>
      <c r="B89" t="s">
        <v>25</v>
      </c>
      <c r="C89" t="s">
        <v>7</v>
      </c>
      <c r="D89" t="s">
        <v>14</v>
      </c>
      <c r="E89" t="s">
        <v>17</v>
      </c>
      <c r="F89">
        <v>32.700000000000003</v>
      </c>
    </row>
    <row r="90" spans="1:6" x14ac:dyDescent="0.35">
      <c r="A90">
        <v>2014</v>
      </c>
      <c r="B90" t="s">
        <v>25</v>
      </c>
      <c r="C90" t="s">
        <v>13</v>
      </c>
      <c r="D90" t="s">
        <v>14</v>
      </c>
      <c r="E90" t="s">
        <v>16</v>
      </c>
      <c r="F90">
        <v>76.900000000000006</v>
      </c>
    </row>
    <row r="91" spans="1:6" x14ac:dyDescent="0.35">
      <c r="A91">
        <v>2014</v>
      </c>
      <c r="B91" t="s">
        <v>25</v>
      </c>
      <c r="C91" t="s">
        <v>13</v>
      </c>
      <c r="D91" t="s">
        <v>14</v>
      </c>
      <c r="E91" t="s">
        <v>17</v>
      </c>
      <c r="F91">
        <v>58.6</v>
      </c>
    </row>
    <row r="92" spans="1:6" x14ac:dyDescent="0.35">
      <c r="A92">
        <v>2014</v>
      </c>
      <c r="B92" t="s">
        <v>26</v>
      </c>
      <c r="C92" t="s">
        <v>7</v>
      </c>
      <c r="D92" t="s">
        <v>8</v>
      </c>
      <c r="E92" t="s">
        <v>9</v>
      </c>
      <c r="F92">
        <v>27.4</v>
      </c>
    </row>
    <row r="93" spans="1:6" x14ac:dyDescent="0.35">
      <c r="A93">
        <v>2014</v>
      </c>
      <c r="B93" t="s">
        <v>26</v>
      </c>
      <c r="C93" t="s">
        <v>7</v>
      </c>
      <c r="D93" t="s">
        <v>8</v>
      </c>
      <c r="E93" t="s">
        <v>10</v>
      </c>
      <c r="F93">
        <v>32.1</v>
      </c>
    </row>
    <row r="94" spans="1:6" x14ac:dyDescent="0.35">
      <c r="A94">
        <v>2014</v>
      </c>
      <c r="B94" t="s">
        <v>26</v>
      </c>
      <c r="C94" t="s">
        <v>7</v>
      </c>
      <c r="D94" t="s">
        <v>8</v>
      </c>
      <c r="E94" t="s">
        <v>11</v>
      </c>
      <c r="F94">
        <v>25.3</v>
      </c>
    </row>
    <row r="95" spans="1:6" x14ac:dyDescent="0.35">
      <c r="A95">
        <v>2014</v>
      </c>
      <c r="B95" t="s">
        <v>26</v>
      </c>
      <c r="C95" t="s">
        <v>7</v>
      </c>
      <c r="D95" t="s">
        <v>8</v>
      </c>
      <c r="E95" t="s">
        <v>12</v>
      </c>
      <c r="F95">
        <v>14</v>
      </c>
    </row>
    <row r="96" spans="1:6" x14ac:dyDescent="0.35">
      <c r="A96">
        <v>2014</v>
      </c>
      <c r="B96" t="s">
        <v>26</v>
      </c>
      <c r="C96" t="s">
        <v>13</v>
      </c>
      <c r="D96" t="s">
        <v>8</v>
      </c>
      <c r="E96" t="s">
        <v>12</v>
      </c>
      <c r="F96">
        <v>45.1</v>
      </c>
    </row>
    <row r="97" spans="1:6" x14ac:dyDescent="0.35">
      <c r="A97">
        <v>2014</v>
      </c>
      <c r="B97" t="s">
        <v>26</v>
      </c>
      <c r="C97" t="s">
        <v>7</v>
      </c>
      <c r="D97" t="s">
        <v>14</v>
      </c>
      <c r="E97" t="s">
        <v>15</v>
      </c>
      <c r="F97">
        <v>64.8</v>
      </c>
    </row>
    <row r="98" spans="1:6" x14ac:dyDescent="0.35">
      <c r="A98">
        <v>2014</v>
      </c>
      <c r="B98" t="s">
        <v>26</v>
      </c>
      <c r="C98" t="s">
        <v>7</v>
      </c>
      <c r="D98" t="s">
        <v>14</v>
      </c>
      <c r="E98" t="s">
        <v>16</v>
      </c>
      <c r="F98">
        <v>38.4</v>
      </c>
    </row>
    <row r="99" spans="1:6" x14ac:dyDescent="0.35">
      <c r="A99">
        <v>2014</v>
      </c>
      <c r="B99" t="s">
        <v>26</v>
      </c>
      <c r="C99" t="s">
        <v>7</v>
      </c>
      <c r="D99" t="s">
        <v>14</v>
      </c>
      <c r="E99" t="s">
        <v>17</v>
      </c>
      <c r="F99">
        <v>16.600000000000001</v>
      </c>
    </row>
    <row r="100" spans="1:6" x14ac:dyDescent="0.35">
      <c r="A100">
        <v>2014</v>
      </c>
      <c r="B100" t="s">
        <v>26</v>
      </c>
      <c r="C100" t="s">
        <v>13</v>
      </c>
      <c r="D100" t="s">
        <v>14</v>
      </c>
      <c r="E100" t="s">
        <v>16</v>
      </c>
      <c r="F100">
        <v>59</v>
      </c>
    </row>
    <row r="101" spans="1:6" x14ac:dyDescent="0.35">
      <c r="A101">
        <v>2014</v>
      </c>
      <c r="B101" t="s">
        <v>26</v>
      </c>
      <c r="C101" t="s">
        <v>13</v>
      </c>
      <c r="D101" t="s">
        <v>14</v>
      </c>
      <c r="E101" t="s">
        <v>17</v>
      </c>
      <c r="F101">
        <v>36.6</v>
      </c>
    </row>
    <row r="102" spans="1:6" x14ac:dyDescent="0.35">
      <c r="A102">
        <v>2014</v>
      </c>
      <c r="B102" t="s">
        <v>27</v>
      </c>
      <c r="C102" t="s">
        <v>7</v>
      </c>
      <c r="D102" t="s">
        <v>8</v>
      </c>
      <c r="E102" t="s">
        <v>9</v>
      </c>
      <c r="F102">
        <v>10.3</v>
      </c>
    </row>
    <row r="103" spans="1:6" x14ac:dyDescent="0.35">
      <c r="A103">
        <v>2014</v>
      </c>
      <c r="B103" t="s">
        <v>27</v>
      </c>
      <c r="C103" t="s">
        <v>7</v>
      </c>
      <c r="D103" t="s">
        <v>8</v>
      </c>
      <c r="E103" t="s">
        <v>10</v>
      </c>
      <c r="F103">
        <v>21.7</v>
      </c>
    </row>
    <row r="104" spans="1:6" x14ac:dyDescent="0.35">
      <c r="A104">
        <v>2014</v>
      </c>
      <c r="B104" t="s">
        <v>27</v>
      </c>
      <c r="C104" t="s">
        <v>7</v>
      </c>
      <c r="D104" t="s">
        <v>8</v>
      </c>
      <c r="E104" t="s">
        <v>11</v>
      </c>
      <c r="F104">
        <v>38.200000000000003</v>
      </c>
    </row>
    <row r="105" spans="1:6" x14ac:dyDescent="0.35">
      <c r="A105">
        <v>2014</v>
      </c>
      <c r="B105" t="s">
        <v>27</v>
      </c>
      <c r="C105" t="s">
        <v>7</v>
      </c>
      <c r="D105" t="s">
        <v>8</v>
      </c>
      <c r="E105" t="s">
        <v>12</v>
      </c>
      <c r="F105">
        <v>41.5</v>
      </c>
    </row>
    <row r="106" spans="1:6" x14ac:dyDescent="0.35">
      <c r="A106">
        <v>2014</v>
      </c>
      <c r="B106" t="s">
        <v>27</v>
      </c>
      <c r="C106" t="s">
        <v>13</v>
      </c>
      <c r="D106" t="s">
        <v>8</v>
      </c>
      <c r="E106" t="s">
        <v>12</v>
      </c>
      <c r="F106">
        <v>70.8</v>
      </c>
    </row>
    <row r="107" spans="1:6" x14ac:dyDescent="0.35">
      <c r="A107">
        <v>2014</v>
      </c>
      <c r="B107" t="s">
        <v>27</v>
      </c>
      <c r="C107" t="s">
        <v>7</v>
      </c>
      <c r="D107" t="s">
        <v>14</v>
      </c>
      <c r="E107" t="s">
        <v>15</v>
      </c>
      <c r="F107">
        <v>78.900000000000006</v>
      </c>
    </row>
    <row r="108" spans="1:6" x14ac:dyDescent="0.35">
      <c r="A108">
        <v>2014</v>
      </c>
      <c r="B108" t="s">
        <v>27</v>
      </c>
      <c r="C108" t="s">
        <v>7</v>
      </c>
      <c r="D108" t="s">
        <v>14</v>
      </c>
      <c r="E108" t="s">
        <v>16</v>
      </c>
      <c r="F108">
        <v>57.6</v>
      </c>
    </row>
    <row r="109" spans="1:6" x14ac:dyDescent="0.35">
      <c r="A109">
        <v>2014</v>
      </c>
      <c r="B109" t="s">
        <v>27</v>
      </c>
      <c r="C109" t="s">
        <v>7</v>
      </c>
      <c r="D109" t="s">
        <v>14</v>
      </c>
      <c r="E109" t="s">
        <v>17</v>
      </c>
      <c r="F109">
        <v>39.4</v>
      </c>
    </row>
    <row r="110" spans="1:6" x14ac:dyDescent="0.35">
      <c r="A110">
        <v>2014</v>
      </c>
      <c r="B110" t="s">
        <v>27</v>
      </c>
      <c r="C110" t="s">
        <v>13</v>
      </c>
      <c r="D110" t="s">
        <v>14</v>
      </c>
      <c r="E110" t="s">
        <v>16</v>
      </c>
      <c r="F110">
        <v>76.8</v>
      </c>
    </row>
    <row r="111" spans="1:6" x14ac:dyDescent="0.35">
      <c r="A111">
        <v>2014</v>
      </c>
      <c r="B111" t="s">
        <v>27</v>
      </c>
      <c r="C111" t="s">
        <v>13</v>
      </c>
      <c r="D111" t="s">
        <v>14</v>
      </c>
      <c r="E111" t="s">
        <v>17</v>
      </c>
      <c r="F111">
        <v>60.2</v>
      </c>
    </row>
    <row r="112" spans="1:6" x14ac:dyDescent="0.35">
      <c r="A112">
        <v>2014</v>
      </c>
      <c r="B112" t="s">
        <v>28</v>
      </c>
      <c r="C112" t="s">
        <v>7</v>
      </c>
      <c r="D112" t="s">
        <v>8</v>
      </c>
      <c r="E112" t="s">
        <v>9</v>
      </c>
      <c r="F112">
        <v>28.7</v>
      </c>
    </row>
    <row r="113" spans="1:6" x14ac:dyDescent="0.35">
      <c r="A113">
        <v>2014</v>
      </c>
      <c r="B113" t="s">
        <v>28</v>
      </c>
      <c r="C113" t="s">
        <v>7</v>
      </c>
      <c r="D113" t="s">
        <v>8</v>
      </c>
      <c r="E113" t="s">
        <v>10</v>
      </c>
      <c r="F113">
        <v>22.4</v>
      </c>
    </row>
    <row r="114" spans="1:6" x14ac:dyDescent="0.35">
      <c r="A114">
        <v>2014</v>
      </c>
      <c r="B114" t="s">
        <v>28</v>
      </c>
      <c r="C114" t="s">
        <v>7</v>
      </c>
      <c r="D114" t="s">
        <v>8</v>
      </c>
      <c r="E114" t="s">
        <v>11</v>
      </c>
      <c r="F114">
        <v>14.1</v>
      </c>
    </row>
    <row r="115" spans="1:6" x14ac:dyDescent="0.35">
      <c r="A115">
        <v>2014</v>
      </c>
      <c r="B115" t="s">
        <v>28</v>
      </c>
      <c r="C115" t="s">
        <v>7</v>
      </c>
      <c r="D115" t="s">
        <v>8</v>
      </c>
      <c r="E115" t="s">
        <v>12</v>
      </c>
      <c r="F115">
        <v>7.9</v>
      </c>
    </row>
    <row r="116" spans="1:6" x14ac:dyDescent="0.35">
      <c r="A116">
        <v>2014</v>
      </c>
      <c r="B116" t="s">
        <v>28</v>
      </c>
      <c r="C116" t="s">
        <v>13</v>
      </c>
      <c r="D116" t="s">
        <v>8</v>
      </c>
      <c r="E116" t="s">
        <v>12</v>
      </c>
      <c r="F116">
        <v>30.7</v>
      </c>
    </row>
    <row r="117" spans="1:6" x14ac:dyDescent="0.35">
      <c r="A117">
        <v>2014</v>
      </c>
      <c r="B117" t="s">
        <v>28</v>
      </c>
      <c r="C117" t="s">
        <v>7</v>
      </c>
      <c r="D117" t="s">
        <v>14</v>
      </c>
      <c r="E117" t="s">
        <v>15</v>
      </c>
      <c r="F117">
        <v>57.4</v>
      </c>
    </row>
    <row r="118" spans="1:6" x14ac:dyDescent="0.35">
      <c r="A118">
        <v>2014</v>
      </c>
      <c r="B118" t="s">
        <v>28</v>
      </c>
      <c r="C118" t="s">
        <v>7</v>
      </c>
      <c r="D118" t="s">
        <v>14</v>
      </c>
      <c r="E118" t="s">
        <v>16</v>
      </c>
      <c r="F118">
        <v>29.8</v>
      </c>
    </row>
    <row r="119" spans="1:6" x14ac:dyDescent="0.35">
      <c r="A119">
        <v>2014</v>
      </c>
      <c r="B119" t="s">
        <v>28</v>
      </c>
      <c r="C119" t="s">
        <v>7</v>
      </c>
      <c r="D119" t="s">
        <v>14</v>
      </c>
      <c r="E119" t="s">
        <v>17</v>
      </c>
      <c r="F119">
        <v>14.2</v>
      </c>
    </row>
    <row r="120" spans="1:6" x14ac:dyDescent="0.35">
      <c r="A120">
        <v>2014</v>
      </c>
      <c r="B120" t="s">
        <v>28</v>
      </c>
      <c r="C120" t="s">
        <v>13</v>
      </c>
      <c r="D120" t="s">
        <v>14</v>
      </c>
      <c r="E120" t="s">
        <v>16</v>
      </c>
      <c r="F120">
        <v>48.3</v>
      </c>
    </row>
    <row r="121" spans="1:6" x14ac:dyDescent="0.35">
      <c r="A121">
        <v>2014</v>
      </c>
      <c r="B121" t="s">
        <v>28</v>
      </c>
      <c r="C121" t="s">
        <v>13</v>
      </c>
      <c r="D121" t="s">
        <v>14</v>
      </c>
      <c r="E121" t="s">
        <v>17</v>
      </c>
      <c r="F121">
        <v>27.1</v>
      </c>
    </row>
    <row r="122" spans="1:6" x14ac:dyDescent="0.35">
      <c r="A122">
        <v>2014</v>
      </c>
      <c r="B122" t="s">
        <v>29</v>
      </c>
      <c r="C122" t="s">
        <v>7</v>
      </c>
      <c r="D122" t="s">
        <v>8</v>
      </c>
      <c r="E122" t="s">
        <v>9</v>
      </c>
      <c r="F122">
        <v>21.8</v>
      </c>
    </row>
    <row r="123" spans="1:6" x14ac:dyDescent="0.35">
      <c r="A123">
        <v>2014</v>
      </c>
      <c r="B123" t="s">
        <v>29</v>
      </c>
      <c r="C123" t="s">
        <v>7</v>
      </c>
      <c r="D123" t="s">
        <v>8</v>
      </c>
      <c r="E123" t="s">
        <v>10</v>
      </c>
      <c r="F123">
        <v>27.4</v>
      </c>
    </row>
    <row r="124" spans="1:6" x14ac:dyDescent="0.35">
      <c r="A124">
        <v>2014</v>
      </c>
      <c r="B124" t="s">
        <v>29</v>
      </c>
      <c r="C124" t="s">
        <v>7</v>
      </c>
      <c r="D124" t="s">
        <v>8</v>
      </c>
      <c r="E124" t="s">
        <v>11</v>
      </c>
      <c r="F124">
        <v>24.6</v>
      </c>
    </row>
    <row r="125" spans="1:6" x14ac:dyDescent="0.35">
      <c r="A125">
        <v>2014</v>
      </c>
      <c r="B125" t="s">
        <v>29</v>
      </c>
      <c r="C125" t="s">
        <v>7</v>
      </c>
      <c r="D125" t="s">
        <v>8</v>
      </c>
      <c r="E125" t="s">
        <v>12</v>
      </c>
      <c r="F125">
        <v>14.3</v>
      </c>
    </row>
    <row r="126" spans="1:6" x14ac:dyDescent="0.35">
      <c r="A126">
        <v>2014</v>
      </c>
      <c r="B126" t="s">
        <v>29</v>
      </c>
      <c r="C126" t="s">
        <v>13</v>
      </c>
      <c r="D126" t="s">
        <v>8</v>
      </c>
      <c r="E126" t="s">
        <v>12</v>
      </c>
      <c r="F126">
        <v>47.8</v>
      </c>
    </row>
    <row r="127" spans="1:6" x14ac:dyDescent="0.35">
      <c r="A127">
        <v>2014</v>
      </c>
      <c r="B127" t="s">
        <v>29</v>
      </c>
      <c r="C127" t="s">
        <v>7</v>
      </c>
      <c r="D127" t="s">
        <v>14</v>
      </c>
      <c r="E127" t="s">
        <v>15</v>
      </c>
      <c r="F127">
        <v>69.099999999999994</v>
      </c>
    </row>
    <row r="128" spans="1:6" x14ac:dyDescent="0.35">
      <c r="A128">
        <v>2014</v>
      </c>
      <c r="B128" t="s">
        <v>29</v>
      </c>
      <c r="C128" t="s">
        <v>7</v>
      </c>
      <c r="D128" t="s">
        <v>14</v>
      </c>
      <c r="E128" t="s">
        <v>16</v>
      </c>
      <c r="F128">
        <v>46.2</v>
      </c>
    </row>
    <row r="129" spans="1:6" x14ac:dyDescent="0.35">
      <c r="A129">
        <v>2014</v>
      </c>
      <c r="B129" t="s">
        <v>29</v>
      </c>
      <c r="C129" t="s">
        <v>7</v>
      </c>
      <c r="D129" t="s">
        <v>14</v>
      </c>
      <c r="E129" t="s">
        <v>17</v>
      </c>
      <c r="F129">
        <v>28.4</v>
      </c>
    </row>
    <row r="130" spans="1:6" x14ac:dyDescent="0.35">
      <c r="A130">
        <v>2014</v>
      </c>
      <c r="B130" t="s">
        <v>29</v>
      </c>
      <c r="C130" t="s">
        <v>13</v>
      </c>
      <c r="D130" t="s">
        <v>14</v>
      </c>
      <c r="E130" t="s">
        <v>16</v>
      </c>
      <c r="F130">
        <v>63.5</v>
      </c>
    </row>
    <row r="131" spans="1:6" x14ac:dyDescent="0.35">
      <c r="A131">
        <v>2014</v>
      </c>
      <c r="B131" t="s">
        <v>29</v>
      </c>
      <c r="C131" t="s">
        <v>13</v>
      </c>
      <c r="D131" t="s">
        <v>14</v>
      </c>
      <c r="E131" t="s">
        <v>17</v>
      </c>
      <c r="F131">
        <v>42.7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4B21-6B66-4223-B948-32B8D4093D2E}">
  <dimension ref="A1:F131"/>
  <sheetViews>
    <sheetView workbookViewId="0">
      <pane ySplit="1" topLeftCell="A2" activePane="bottomLeft" state="frozen"/>
      <selection pane="bottomLeft" activeCell="H25" sqref="H25"/>
    </sheetView>
  </sheetViews>
  <sheetFormatPr defaultRowHeight="14.5" x14ac:dyDescent="0.35"/>
  <cols>
    <col min="1" max="1" width="11.81640625" customWidth="1"/>
    <col min="2" max="2" width="15.81640625" bestFit="1" customWidth="1"/>
    <col min="3" max="3" width="11.54296875" customWidth="1"/>
    <col min="4" max="5" width="10.90625" customWidth="1"/>
    <col min="6" max="6" width="13.36328125" customWidth="1"/>
  </cols>
  <sheetData>
    <row r="1" spans="1:6" x14ac:dyDescent="0.35">
      <c r="A1" t="s">
        <v>0</v>
      </c>
      <c r="B1" t="s">
        <v>1</v>
      </c>
      <c r="C1" t="s">
        <v>2</v>
      </c>
      <c r="D1" t="s">
        <v>3</v>
      </c>
      <c r="E1" t="s">
        <v>4</v>
      </c>
      <c r="F1" t="s">
        <v>5</v>
      </c>
    </row>
    <row r="2" spans="1:6" x14ac:dyDescent="0.35">
      <c r="A2">
        <v>2016</v>
      </c>
      <c r="B2" t="s">
        <v>6</v>
      </c>
      <c r="C2" t="s">
        <v>7</v>
      </c>
      <c r="D2" t="s">
        <v>8</v>
      </c>
      <c r="E2" t="s">
        <v>9</v>
      </c>
      <c r="F2">
        <v>55</v>
      </c>
    </row>
    <row r="3" spans="1:6" x14ac:dyDescent="0.35">
      <c r="A3">
        <v>2016</v>
      </c>
      <c r="B3" t="s">
        <v>6</v>
      </c>
      <c r="C3" t="s">
        <v>7</v>
      </c>
      <c r="D3" t="s">
        <v>8</v>
      </c>
      <c r="E3" t="s">
        <v>10</v>
      </c>
      <c r="F3">
        <v>30</v>
      </c>
    </row>
    <row r="4" spans="1:6" x14ac:dyDescent="0.35">
      <c r="A4">
        <v>2016</v>
      </c>
      <c r="B4" t="s">
        <v>6</v>
      </c>
      <c r="C4" t="s">
        <v>7</v>
      </c>
      <c r="D4" t="s">
        <v>8</v>
      </c>
      <c r="E4" t="s">
        <v>11</v>
      </c>
      <c r="F4">
        <v>20</v>
      </c>
    </row>
    <row r="5" spans="1:6" x14ac:dyDescent="0.35">
      <c r="A5">
        <v>2016</v>
      </c>
      <c r="B5" t="s">
        <v>6</v>
      </c>
      <c r="C5" t="s">
        <v>7</v>
      </c>
      <c r="D5" t="s">
        <v>8</v>
      </c>
      <c r="E5" t="s">
        <v>12</v>
      </c>
      <c r="F5">
        <v>10</v>
      </c>
    </row>
    <row r="6" spans="1:6" x14ac:dyDescent="0.35">
      <c r="A6">
        <v>2016</v>
      </c>
      <c r="B6" t="s">
        <v>6</v>
      </c>
      <c r="C6" t="s">
        <v>13</v>
      </c>
      <c r="D6" t="s">
        <v>8</v>
      </c>
      <c r="E6" t="s">
        <v>12</v>
      </c>
      <c r="F6">
        <v>25</v>
      </c>
    </row>
    <row r="7" spans="1:6" x14ac:dyDescent="0.35">
      <c r="A7">
        <v>2016</v>
      </c>
      <c r="B7" t="s">
        <v>6</v>
      </c>
      <c r="C7" t="s">
        <v>7</v>
      </c>
      <c r="D7" t="s">
        <v>14</v>
      </c>
      <c r="E7" t="s">
        <v>15</v>
      </c>
      <c r="F7">
        <v>60</v>
      </c>
    </row>
    <row r="8" spans="1:6" x14ac:dyDescent="0.35">
      <c r="A8">
        <v>2016</v>
      </c>
      <c r="B8" t="s">
        <v>6</v>
      </c>
      <c r="C8" t="s">
        <v>7</v>
      </c>
      <c r="D8" t="s">
        <v>14</v>
      </c>
      <c r="E8" t="s">
        <v>16</v>
      </c>
      <c r="F8">
        <v>35</v>
      </c>
    </row>
    <row r="9" spans="1:6" x14ac:dyDescent="0.35">
      <c r="A9">
        <v>2016</v>
      </c>
      <c r="B9" t="s">
        <v>6</v>
      </c>
      <c r="C9" t="s">
        <v>7</v>
      </c>
      <c r="D9" t="s">
        <v>14</v>
      </c>
      <c r="E9" t="s">
        <v>17</v>
      </c>
      <c r="F9">
        <v>20</v>
      </c>
    </row>
    <row r="10" spans="1:6" x14ac:dyDescent="0.35">
      <c r="A10">
        <v>2016</v>
      </c>
      <c r="B10" t="s">
        <v>6</v>
      </c>
      <c r="C10" t="s">
        <v>13</v>
      </c>
      <c r="D10" t="s">
        <v>14</v>
      </c>
      <c r="E10" t="s">
        <v>16</v>
      </c>
      <c r="F10">
        <v>40</v>
      </c>
    </row>
    <row r="11" spans="1:6" x14ac:dyDescent="0.35">
      <c r="A11">
        <v>2016</v>
      </c>
      <c r="B11" t="s">
        <v>6</v>
      </c>
      <c r="C11" t="s">
        <v>13</v>
      </c>
      <c r="D11" t="s">
        <v>14</v>
      </c>
      <c r="E11" t="s">
        <v>17</v>
      </c>
      <c r="F11">
        <v>25</v>
      </c>
    </row>
    <row r="12" spans="1:6" hidden="1" x14ac:dyDescent="0.35">
      <c r="A12">
        <v>2016</v>
      </c>
      <c r="B12" t="s">
        <v>18</v>
      </c>
      <c r="C12" t="s">
        <v>7</v>
      </c>
      <c r="D12" t="s">
        <v>8</v>
      </c>
      <c r="E12" t="s">
        <v>9</v>
      </c>
      <c r="F12">
        <v>52</v>
      </c>
    </row>
    <row r="13" spans="1:6" hidden="1" x14ac:dyDescent="0.35">
      <c r="A13">
        <v>2016</v>
      </c>
      <c r="B13" t="s">
        <v>18</v>
      </c>
      <c r="C13" t="s">
        <v>7</v>
      </c>
      <c r="D13" t="s">
        <v>8</v>
      </c>
      <c r="E13" t="s">
        <v>10</v>
      </c>
      <c r="F13">
        <v>32</v>
      </c>
    </row>
    <row r="14" spans="1:6" hidden="1" x14ac:dyDescent="0.35">
      <c r="A14">
        <v>2016</v>
      </c>
      <c r="B14" t="s">
        <v>18</v>
      </c>
      <c r="C14" t="s">
        <v>7</v>
      </c>
      <c r="D14" t="s">
        <v>8</v>
      </c>
      <c r="E14" t="s">
        <v>11</v>
      </c>
      <c r="F14">
        <v>22</v>
      </c>
    </row>
    <row r="15" spans="1:6" hidden="1" x14ac:dyDescent="0.35">
      <c r="A15">
        <v>2016</v>
      </c>
      <c r="B15" t="s">
        <v>18</v>
      </c>
      <c r="C15" t="s">
        <v>7</v>
      </c>
      <c r="D15" t="s">
        <v>8</v>
      </c>
      <c r="E15" t="s">
        <v>12</v>
      </c>
      <c r="F15">
        <v>12</v>
      </c>
    </row>
    <row r="16" spans="1:6" hidden="1" x14ac:dyDescent="0.35">
      <c r="A16">
        <v>2016</v>
      </c>
      <c r="B16" t="s">
        <v>18</v>
      </c>
      <c r="C16" t="s">
        <v>13</v>
      </c>
      <c r="D16" t="s">
        <v>8</v>
      </c>
      <c r="E16" t="s">
        <v>12</v>
      </c>
      <c r="F16">
        <v>28</v>
      </c>
    </row>
    <row r="17" spans="1:6" hidden="1" x14ac:dyDescent="0.35">
      <c r="A17">
        <v>2016</v>
      </c>
      <c r="B17" t="s">
        <v>18</v>
      </c>
      <c r="C17" t="s">
        <v>7</v>
      </c>
      <c r="D17" t="s">
        <v>14</v>
      </c>
      <c r="E17" t="s">
        <v>15</v>
      </c>
      <c r="F17">
        <v>57</v>
      </c>
    </row>
    <row r="18" spans="1:6" hidden="1" x14ac:dyDescent="0.35">
      <c r="A18">
        <v>2016</v>
      </c>
      <c r="B18" t="s">
        <v>18</v>
      </c>
      <c r="C18" t="s">
        <v>7</v>
      </c>
      <c r="D18" t="s">
        <v>14</v>
      </c>
      <c r="E18" t="s">
        <v>16</v>
      </c>
      <c r="F18">
        <v>43</v>
      </c>
    </row>
    <row r="19" spans="1:6" hidden="1" x14ac:dyDescent="0.35">
      <c r="A19">
        <v>2016</v>
      </c>
      <c r="B19" t="s">
        <v>18</v>
      </c>
      <c r="C19" t="s">
        <v>7</v>
      </c>
      <c r="D19" t="s">
        <v>14</v>
      </c>
      <c r="E19" t="s">
        <v>17</v>
      </c>
      <c r="F19">
        <v>20</v>
      </c>
    </row>
    <row r="20" spans="1:6" hidden="1" x14ac:dyDescent="0.35">
      <c r="A20">
        <v>2016</v>
      </c>
      <c r="B20" t="s">
        <v>18</v>
      </c>
      <c r="C20" t="s">
        <v>13</v>
      </c>
      <c r="D20" t="s">
        <v>14</v>
      </c>
      <c r="E20" t="s">
        <v>16</v>
      </c>
      <c r="F20">
        <v>48</v>
      </c>
    </row>
    <row r="21" spans="1:6" hidden="1" x14ac:dyDescent="0.35">
      <c r="A21">
        <v>2016</v>
      </c>
      <c r="B21" t="s">
        <v>18</v>
      </c>
      <c r="C21" t="s">
        <v>13</v>
      </c>
      <c r="D21" t="s">
        <v>14</v>
      </c>
      <c r="E21" t="s">
        <v>17</v>
      </c>
      <c r="F21">
        <v>30</v>
      </c>
    </row>
    <row r="22" spans="1:6" hidden="1" x14ac:dyDescent="0.35">
      <c r="A22">
        <v>2016</v>
      </c>
      <c r="B22" t="s">
        <v>19</v>
      </c>
      <c r="C22" t="s">
        <v>7</v>
      </c>
      <c r="D22" t="s">
        <v>8</v>
      </c>
      <c r="E22" t="s">
        <v>9</v>
      </c>
      <c r="F22">
        <v>35</v>
      </c>
    </row>
    <row r="23" spans="1:6" hidden="1" x14ac:dyDescent="0.35">
      <c r="A23">
        <v>2016</v>
      </c>
      <c r="B23" t="s">
        <v>19</v>
      </c>
      <c r="C23" t="s">
        <v>7</v>
      </c>
      <c r="D23" t="s">
        <v>8</v>
      </c>
      <c r="E23" t="s">
        <v>10</v>
      </c>
      <c r="F23">
        <v>40</v>
      </c>
    </row>
    <row r="24" spans="1:6" hidden="1" x14ac:dyDescent="0.35">
      <c r="A24">
        <v>2016</v>
      </c>
      <c r="B24" t="s">
        <v>19</v>
      </c>
      <c r="C24" t="s">
        <v>7</v>
      </c>
      <c r="D24" t="s">
        <v>8</v>
      </c>
      <c r="E24" t="s">
        <v>11</v>
      </c>
      <c r="F24">
        <v>45</v>
      </c>
    </row>
    <row r="25" spans="1:6" hidden="1" x14ac:dyDescent="0.35">
      <c r="A25">
        <v>2016</v>
      </c>
      <c r="B25" t="s">
        <v>19</v>
      </c>
      <c r="C25" t="s">
        <v>7</v>
      </c>
      <c r="D25" t="s">
        <v>8</v>
      </c>
      <c r="E25" t="s">
        <v>12</v>
      </c>
      <c r="F25">
        <v>50</v>
      </c>
    </row>
    <row r="26" spans="1:6" hidden="1" x14ac:dyDescent="0.35">
      <c r="A26">
        <v>2016</v>
      </c>
      <c r="B26" t="s">
        <v>19</v>
      </c>
      <c r="C26" t="s">
        <v>13</v>
      </c>
      <c r="D26" t="s">
        <v>8</v>
      </c>
      <c r="E26" t="s">
        <v>12</v>
      </c>
      <c r="F26">
        <v>60</v>
      </c>
    </row>
    <row r="27" spans="1:6" hidden="1" x14ac:dyDescent="0.35">
      <c r="A27">
        <v>2016</v>
      </c>
      <c r="B27" t="s">
        <v>19</v>
      </c>
      <c r="C27" t="s">
        <v>7</v>
      </c>
      <c r="D27" t="s">
        <v>14</v>
      </c>
      <c r="E27" t="s">
        <v>15</v>
      </c>
      <c r="F27">
        <v>65</v>
      </c>
    </row>
    <row r="28" spans="1:6" hidden="1" x14ac:dyDescent="0.35">
      <c r="A28">
        <v>2016</v>
      </c>
      <c r="B28" t="s">
        <v>19</v>
      </c>
      <c r="C28" t="s">
        <v>7</v>
      </c>
      <c r="D28" t="s">
        <v>14</v>
      </c>
      <c r="E28" t="s">
        <v>16</v>
      </c>
      <c r="F28">
        <v>45</v>
      </c>
    </row>
    <row r="29" spans="1:6" hidden="1" x14ac:dyDescent="0.35">
      <c r="A29">
        <v>2016</v>
      </c>
      <c r="B29" t="s">
        <v>19</v>
      </c>
      <c r="C29" t="s">
        <v>7</v>
      </c>
      <c r="D29" t="s">
        <v>14</v>
      </c>
      <c r="E29" t="s">
        <v>17</v>
      </c>
      <c r="F29">
        <v>30</v>
      </c>
    </row>
    <row r="30" spans="1:6" hidden="1" x14ac:dyDescent="0.35">
      <c r="A30">
        <v>2016</v>
      </c>
      <c r="B30" t="s">
        <v>19</v>
      </c>
      <c r="C30" t="s">
        <v>13</v>
      </c>
      <c r="D30" t="s">
        <v>14</v>
      </c>
      <c r="E30" t="s">
        <v>16</v>
      </c>
      <c r="F30">
        <v>55</v>
      </c>
    </row>
    <row r="31" spans="1:6" hidden="1" x14ac:dyDescent="0.35">
      <c r="A31">
        <v>2016</v>
      </c>
      <c r="B31" t="s">
        <v>19</v>
      </c>
      <c r="C31" t="s">
        <v>13</v>
      </c>
      <c r="D31" t="s">
        <v>14</v>
      </c>
      <c r="E31" t="s">
        <v>17</v>
      </c>
      <c r="F31">
        <v>40</v>
      </c>
    </row>
    <row r="32" spans="1:6" hidden="1" x14ac:dyDescent="0.35">
      <c r="A32">
        <v>2016</v>
      </c>
      <c r="B32" t="s">
        <v>20</v>
      </c>
      <c r="C32" t="s">
        <v>7</v>
      </c>
      <c r="D32" t="s">
        <v>8</v>
      </c>
      <c r="E32" t="s">
        <v>9</v>
      </c>
      <c r="F32">
        <v>19</v>
      </c>
    </row>
    <row r="33" spans="1:6" hidden="1" x14ac:dyDescent="0.35">
      <c r="A33">
        <v>2016</v>
      </c>
      <c r="B33" t="s">
        <v>20</v>
      </c>
      <c r="C33" t="s">
        <v>7</v>
      </c>
      <c r="D33" t="s">
        <v>8</v>
      </c>
      <c r="E33" t="s">
        <v>10</v>
      </c>
      <c r="F33">
        <v>12.3</v>
      </c>
    </row>
    <row r="34" spans="1:6" hidden="1" x14ac:dyDescent="0.35">
      <c r="A34">
        <v>2016</v>
      </c>
      <c r="B34" t="s">
        <v>20</v>
      </c>
      <c r="C34" t="s">
        <v>7</v>
      </c>
      <c r="D34" t="s">
        <v>8</v>
      </c>
      <c r="E34" t="s">
        <v>11</v>
      </c>
      <c r="F34">
        <v>23.6</v>
      </c>
    </row>
    <row r="35" spans="1:6" hidden="1" x14ac:dyDescent="0.35">
      <c r="A35">
        <v>2016</v>
      </c>
      <c r="B35" t="s">
        <v>20</v>
      </c>
      <c r="C35" t="s">
        <v>7</v>
      </c>
      <c r="D35" t="s">
        <v>8</v>
      </c>
      <c r="E35" t="s">
        <v>12</v>
      </c>
      <c r="F35">
        <v>45</v>
      </c>
    </row>
    <row r="36" spans="1:6" hidden="1" x14ac:dyDescent="0.35">
      <c r="A36">
        <v>2016</v>
      </c>
      <c r="B36" t="s">
        <v>20</v>
      </c>
      <c r="C36" t="s">
        <v>13</v>
      </c>
      <c r="D36" t="s">
        <v>8</v>
      </c>
      <c r="E36" t="s">
        <v>12</v>
      </c>
      <c r="F36">
        <v>60</v>
      </c>
    </row>
    <row r="37" spans="1:6" hidden="1" x14ac:dyDescent="0.35">
      <c r="A37">
        <v>2016</v>
      </c>
      <c r="B37" t="s">
        <v>20</v>
      </c>
      <c r="C37" t="s">
        <v>7</v>
      </c>
      <c r="D37" t="s">
        <v>14</v>
      </c>
      <c r="E37" t="s">
        <v>15</v>
      </c>
      <c r="F37">
        <v>80</v>
      </c>
    </row>
    <row r="38" spans="1:6" hidden="1" x14ac:dyDescent="0.35">
      <c r="A38">
        <v>2016</v>
      </c>
      <c r="B38" t="s">
        <v>20</v>
      </c>
      <c r="C38" t="s">
        <v>7</v>
      </c>
      <c r="D38" t="s">
        <v>14</v>
      </c>
      <c r="E38" t="s">
        <v>16</v>
      </c>
      <c r="F38">
        <v>60</v>
      </c>
    </row>
    <row r="39" spans="1:6" hidden="1" x14ac:dyDescent="0.35">
      <c r="A39">
        <v>2016</v>
      </c>
      <c r="B39" t="s">
        <v>20</v>
      </c>
      <c r="C39" t="s">
        <v>7</v>
      </c>
      <c r="D39" t="s">
        <v>14</v>
      </c>
      <c r="E39" t="s">
        <v>17</v>
      </c>
      <c r="F39">
        <v>50</v>
      </c>
    </row>
    <row r="40" spans="1:6" hidden="1" x14ac:dyDescent="0.35">
      <c r="A40">
        <v>2016</v>
      </c>
      <c r="B40" t="s">
        <v>20</v>
      </c>
      <c r="C40" t="s">
        <v>13</v>
      </c>
      <c r="D40" t="s">
        <v>14</v>
      </c>
      <c r="E40" t="s">
        <v>16</v>
      </c>
      <c r="F40">
        <v>70</v>
      </c>
    </row>
    <row r="41" spans="1:6" hidden="1" x14ac:dyDescent="0.35">
      <c r="A41">
        <v>2016</v>
      </c>
      <c r="B41" t="s">
        <v>20</v>
      </c>
      <c r="C41" t="s">
        <v>13</v>
      </c>
      <c r="D41" t="s">
        <v>14</v>
      </c>
      <c r="E41" t="s">
        <v>17</v>
      </c>
      <c r="F41">
        <v>65</v>
      </c>
    </row>
    <row r="42" spans="1:6" hidden="1" x14ac:dyDescent="0.35">
      <c r="A42">
        <v>2016</v>
      </c>
      <c r="B42" t="s">
        <v>21</v>
      </c>
      <c r="C42" t="s">
        <v>7</v>
      </c>
      <c r="D42" t="s">
        <v>8</v>
      </c>
      <c r="E42" t="s">
        <v>9</v>
      </c>
      <c r="F42">
        <v>52</v>
      </c>
    </row>
    <row r="43" spans="1:6" hidden="1" x14ac:dyDescent="0.35">
      <c r="A43">
        <v>2016</v>
      </c>
      <c r="B43" t="s">
        <v>21</v>
      </c>
      <c r="C43" t="s">
        <v>7</v>
      </c>
      <c r="D43" t="s">
        <v>8</v>
      </c>
      <c r="E43" t="s">
        <v>10</v>
      </c>
      <c r="F43">
        <v>32</v>
      </c>
    </row>
    <row r="44" spans="1:6" hidden="1" x14ac:dyDescent="0.35">
      <c r="A44">
        <v>2016</v>
      </c>
      <c r="B44" t="s">
        <v>21</v>
      </c>
      <c r="C44" t="s">
        <v>7</v>
      </c>
      <c r="D44" t="s">
        <v>8</v>
      </c>
      <c r="E44" t="s">
        <v>11</v>
      </c>
      <c r="F44">
        <v>21</v>
      </c>
    </row>
    <row r="45" spans="1:6" hidden="1" x14ac:dyDescent="0.35">
      <c r="A45">
        <v>2016</v>
      </c>
      <c r="B45" t="s">
        <v>21</v>
      </c>
      <c r="C45" t="s">
        <v>7</v>
      </c>
      <c r="D45" t="s">
        <v>8</v>
      </c>
      <c r="E45" t="s">
        <v>12</v>
      </c>
      <c r="F45">
        <v>11</v>
      </c>
    </row>
    <row r="46" spans="1:6" hidden="1" x14ac:dyDescent="0.35">
      <c r="A46">
        <v>2016</v>
      </c>
      <c r="B46" t="s">
        <v>21</v>
      </c>
      <c r="C46" t="s">
        <v>13</v>
      </c>
      <c r="D46" t="s">
        <v>8</v>
      </c>
      <c r="E46" t="s">
        <v>12</v>
      </c>
      <c r="F46">
        <v>27</v>
      </c>
    </row>
    <row r="47" spans="1:6" hidden="1" x14ac:dyDescent="0.35">
      <c r="A47">
        <v>2016</v>
      </c>
      <c r="B47" t="s">
        <v>21</v>
      </c>
      <c r="C47" t="s">
        <v>7</v>
      </c>
      <c r="D47" t="s">
        <v>14</v>
      </c>
      <c r="E47" t="s">
        <v>15</v>
      </c>
      <c r="F47">
        <v>57</v>
      </c>
    </row>
    <row r="48" spans="1:6" hidden="1" x14ac:dyDescent="0.35">
      <c r="A48">
        <v>2016</v>
      </c>
      <c r="B48" t="s">
        <v>21</v>
      </c>
      <c r="C48" t="s">
        <v>7</v>
      </c>
      <c r="D48" t="s">
        <v>14</v>
      </c>
      <c r="E48" t="s">
        <v>16</v>
      </c>
      <c r="F48">
        <v>33</v>
      </c>
    </row>
    <row r="49" spans="1:6" hidden="1" x14ac:dyDescent="0.35">
      <c r="A49">
        <v>2016</v>
      </c>
      <c r="B49" t="s">
        <v>21</v>
      </c>
      <c r="C49" t="s">
        <v>7</v>
      </c>
      <c r="D49" t="s">
        <v>14</v>
      </c>
      <c r="E49" t="s">
        <v>17</v>
      </c>
      <c r="F49">
        <v>21</v>
      </c>
    </row>
    <row r="50" spans="1:6" hidden="1" x14ac:dyDescent="0.35">
      <c r="A50">
        <v>2016</v>
      </c>
      <c r="B50" t="s">
        <v>21</v>
      </c>
      <c r="C50" t="s">
        <v>13</v>
      </c>
      <c r="D50" t="s">
        <v>14</v>
      </c>
      <c r="E50" t="s">
        <v>16</v>
      </c>
      <c r="F50">
        <v>41</v>
      </c>
    </row>
    <row r="51" spans="1:6" hidden="1" x14ac:dyDescent="0.35">
      <c r="A51">
        <v>2016</v>
      </c>
      <c r="B51" t="s">
        <v>21</v>
      </c>
      <c r="C51" t="s">
        <v>13</v>
      </c>
      <c r="D51" t="s">
        <v>14</v>
      </c>
      <c r="E51" t="s">
        <v>17</v>
      </c>
      <c r="F51">
        <v>29</v>
      </c>
    </row>
    <row r="52" spans="1:6" hidden="1" x14ac:dyDescent="0.35">
      <c r="A52">
        <v>2016</v>
      </c>
      <c r="B52" t="s">
        <v>22</v>
      </c>
      <c r="C52" t="s">
        <v>7</v>
      </c>
      <c r="D52" t="s">
        <v>8</v>
      </c>
      <c r="E52" t="s">
        <v>9</v>
      </c>
      <c r="F52">
        <v>15</v>
      </c>
    </row>
    <row r="53" spans="1:6" hidden="1" x14ac:dyDescent="0.35">
      <c r="A53">
        <v>2016</v>
      </c>
      <c r="B53" t="s">
        <v>22</v>
      </c>
      <c r="C53" t="s">
        <v>7</v>
      </c>
      <c r="D53" t="s">
        <v>8</v>
      </c>
      <c r="E53" t="s">
        <v>10</v>
      </c>
      <c r="F53">
        <v>20</v>
      </c>
    </row>
    <row r="54" spans="1:6" hidden="1" x14ac:dyDescent="0.35">
      <c r="A54">
        <v>2016</v>
      </c>
      <c r="B54" t="s">
        <v>22</v>
      </c>
      <c r="C54" t="s">
        <v>7</v>
      </c>
      <c r="D54" t="s">
        <v>8</v>
      </c>
      <c r="E54" t="s">
        <v>11</v>
      </c>
      <c r="F54">
        <v>40</v>
      </c>
    </row>
    <row r="55" spans="1:6" hidden="1" x14ac:dyDescent="0.35">
      <c r="A55">
        <v>2016</v>
      </c>
      <c r="B55" t="s">
        <v>22</v>
      </c>
      <c r="C55" t="s">
        <v>7</v>
      </c>
      <c r="D55" t="s">
        <v>8</v>
      </c>
      <c r="E55" t="s">
        <v>12</v>
      </c>
      <c r="F55">
        <v>54</v>
      </c>
    </row>
    <row r="56" spans="1:6" hidden="1" x14ac:dyDescent="0.35">
      <c r="A56">
        <v>2016</v>
      </c>
      <c r="B56" t="s">
        <v>22</v>
      </c>
      <c r="C56" t="s">
        <v>13</v>
      </c>
      <c r="D56" t="s">
        <v>8</v>
      </c>
      <c r="E56" t="s">
        <v>12</v>
      </c>
      <c r="F56">
        <v>70</v>
      </c>
    </row>
    <row r="57" spans="1:6" hidden="1" x14ac:dyDescent="0.35">
      <c r="A57">
        <v>2016</v>
      </c>
      <c r="B57" t="s">
        <v>22</v>
      </c>
      <c r="C57" t="s">
        <v>7</v>
      </c>
      <c r="D57" t="s">
        <v>14</v>
      </c>
      <c r="E57" t="s">
        <v>15</v>
      </c>
      <c r="F57">
        <v>85</v>
      </c>
    </row>
    <row r="58" spans="1:6" hidden="1" x14ac:dyDescent="0.35">
      <c r="A58">
        <v>2016</v>
      </c>
      <c r="B58" t="s">
        <v>22</v>
      </c>
      <c r="C58" t="s">
        <v>7</v>
      </c>
      <c r="D58" t="s">
        <v>14</v>
      </c>
      <c r="E58" t="s">
        <v>16</v>
      </c>
      <c r="F58">
        <v>65</v>
      </c>
    </row>
    <row r="59" spans="1:6" hidden="1" x14ac:dyDescent="0.35">
      <c r="A59">
        <v>2016</v>
      </c>
      <c r="B59" t="s">
        <v>22</v>
      </c>
      <c r="C59" t="s">
        <v>7</v>
      </c>
      <c r="D59" t="s">
        <v>14</v>
      </c>
      <c r="E59" t="s">
        <v>17</v>
      </c>
      <c r="F59">
        <v>57</v>
      </c>
    </row>
    <row r="60" spans="1:6" hidden="1" x14ac:dyDescent="0.35">
      <c r="A60">
        <v>2016</v>
      </c>
      <c r="B60" t="s">
        <v>22</v>
      </c>
      <c r="C60" t="s">
        <v>13</v>
      </c>
      <c r="D60" t="s">
        <v>14</v>
      </c>
      <c r="E60" t="s">
        <v>16</v>
      </c>
      <c r="F60">
        <v>75</v>
      </c>
    </row>
    <row r="61" spans="1:6" hidden="1" x14ac:dyDescent="0.35">
      <c r="A61">
        <v>2016</v>
      </c>
      <c r="B61" t="s">
        <v>22</v>
      </c>
      <c r="C61" t="s">
        <v>13</v>
      </c>
      <c r="D61" t="s">
        <v>14</v>
      </c>
      <c r="E61" t="s">
        <v>17</v>
      </c>
      <c r="F61">
        <v>72</v>
      </c>
    </row>
    <row r="62" spans="1:6" hidden="1" x14ac:dyDescent="0.35">
      <c r="A62">
        <v>2016</v>
      </c>
      <c r="B62" t="s">
        <v>23</v>
      </c>
      <c r="C62" t="s">
        <v>7</v>
      </c>
      <c r="D62" t="s">
        <v>8</v>
      </c>
      <c r="E62" t="s">
        <v>9</v>
      </c>
      <c r="F62">
        <v>50</v>
      </c>
    </row>
    <row r="63" spans="1:6" hidden="1" x14ac:dyDescent="0.35">
      <c r="A63">
        <v>2016</v>
      </c>
      <c r="B63" t="s">
        <v>23</v>
      </c>
      <c r="C63" t="s">
        <v>7</v>
      </c>
      <c r="D63" t="s">
        <v>8</v>
      </c>
      <c r="E63" t="s">
        <v>10</v>
      </c>
      <c r="F63">
        <v>35</v>
      </c>
    </row>
    <row r="64" spans="1:6" hidden="1" x14ac:dyDescent="0.35">
      <c r="A64">
        <v>2016</v>
      </c>
      <c r="B64" t="s">
        <v>23</v>
      </c>
      <c r="C64" t="s">
        <v>7</v>
      </c>
      <c r="D64" t="s">
        <v>8</v>
      </c>
      <c r="E64" t="s">
        <v>11</v>
      </c>
      <c r="F64">
        <v>22</v>
      </c>
    </row>
    <row r="65" spans="1:6" hidden="1" x14ac:dyDescent="0.35">
      <c r="A65">
        <v>2016</v>
      </c>
      <c r="B65" t="s">
        <v>23</v>
      </c>
      <c r="C65" t="s">
        <v>7</v>
      </c>
      <c r="D65" t="s">
        <v>8</v>
      </c>
      <c r="E65" t="s">
        <v>12</v>
      </c>
      <c r="F65">
        <v>12</v>
      </c>
    </row>
    <row r="66" spans="1:6" hidden="1" x14ac:dyDescent="0.35">
      <c r="A66">
        <v>2016</v>
      </c>
      <c r="B66" t="s">
        <v>23</v>
      </c>
      <c r="C66" t="s">
        <v>13</v>
      </c>
      <c r="D66" t="s">
        <v>8</v>
      </c>
      <c r="E66" t="s">
        <v>12</v>
      </c>
      <c r="F66">
        <v>28</v>
      </c>
    </row>
    <row r="67" spans="1:6" hidden="1" x14ac:dyDescent="0.35">
      <c r="A67">
        <v>2016</v>
      </c>
      <c r="B67" t="s">
        <v>23</v>
      </c>
      <c r="C67" t="s">
        <v>7</v>
      </c>
      <c r="D67" t="s">
        <v>14</v>
      </c>
      <c r="E67" t="s">
        <v>15</v>
      </c>
      <c r="F67">
        <v>55</v>
      </c>
    </row>
    <row r="68" spans="1:6" hidden="1" x14ac:dyDescent="0.35">
      <c r="A68">
        <v>2016</v>
      </c>
      <c r="B68" t="s">
        <v>23</v>
      </c>
      <c r="C68" t="s">
        <v>7</v>
      </c>
      <c r="D68" t="s">
        <v>14</v>
      </c>
      <c r="E68" t="s">
        <v>16</v>
      </c>
      <c r="F68">
        <v>36</v>
      </c>
    </row>
    <row r="69" spans="1:6" hidden="1" x14ac:dyDescent="0.35">
      <c r="A69">
        <v>2016</v>
      </c>
      <c r="B69" t="s">
        <v>23</v>
      </c>
      <c r="C69" t="s">
        <v>7</v>
      </c>
      <c r="D69" t="s">
        <v>14</v>
      </c>
      <c r="E69" t="s">
        <v>17</v>
      </c>
      <c r="F69">
        <v>23</v>
      </c>
    </row>
    <row r="70" spans="1:6" hidden="1" x14ac:dyDescent="0.35">
      <c r="A70">
        <v>2016</v>
      </c>
      <c r="B70" t="s">
        <v>23</v>
      </c>
      <c r="C70" t="s">
        <v>13</v>
      </c>
      <c r="D70" t="s">
        <v>14</v>
      </c>
      <c r="E70" t="s">
        <v>16</v>
      </c>
      <c r="F70">
        <v>45</v>
      </c>
    </row>
    <row r="71" spans="1:6" hidden="1" x14ac:dyDescent="0.35">
      <c r="A71">
        <v>2016</v>
      </c>
      <c r="B71" t="s">
        <v>23</v>
      </c>
      <c r="C71" t="s">
        <v>13</v>
      </c>
      <c r="D71" t="s">
        <v>14</v>
      </c>
      <c r="E71" t="s">
        <v>17</v>
      </c>
      <c r="F71">
        <v>30</v>
      </c>
    </row>
    <row r="72" spans="1:6" hidden="1" x14ac:dyDescent="0.35">
      <c r="A72">
        <v>2016</v>
      </c>
      <c r="B72" t="s">
        <v>24</v>
      </c>
      <c r="C72" t="s">
        <v>7</v>
      </c>
      <c r="D72" t="s">
        <v>8</v>
      </c>
      <c r="E72" t="s">
        <v>9</v>
      </c>
      <c r="F72">
        <v>25</v>
      </c>
    </row>
    <row r="73" spans="1:6" hidden="1" x14ac:dyDescent="0.35">
      <c r="A73">
        <v>2016</v>
      </c>
      <c r="B73" t="s">
        <v>24</v>
      </c>
      <c r="C73" t="s">
        <v>7</v>
      </c>
      <c r="D73" t="s">
        <v>8</v>
      </c>
      <c r="E73" t="s">
        <v>10</v>
      </c>
      <c r="F73">
        <v>35</v>
      </c>
    </row>
    <row r="74" spans="1:6" hidden="1" x14ac:dyDescent="0.35">
      <c r="A74">
        <v>2016</v>
      </c>
      <c r="B74" t="s">
        <v>24</v>
      </c>
      <c r="C74" t="s">
        <v>7</v>
      </c>
      <c r="D74" t="s">
        <v>8</v>
      </c>
      <c r="E74" t="s">
        <v>11</v>
      </c>
      <c r="F74">
        <v>45</v>
      </c>
    </row>
    <row r="75" spans="1:6" hidden="1" x14ac:dyDescent="0.35">
      <c r="A75">
        <v>2016</v>
      </c>
      <c r="B75" t="s">
        <v>24</v>
      </c>
      <c r="C75" t="s">
        <v>7</v>
      </c>
      <c r="D75" t="s">
        <v>8</v>
      </c>
      <c r="E75" t="s">
        <v>12</v>
      </c>
      <c r="F75">
        <v>50</v>
      </c>
    </row>
    <row r="76" spans="1:6" hidden="1" x14ac:dyDescent="0.35">
      <c r="A76">
        <v>2016</v>
      </c>
      <c r="B76" t="s">
        <v>24</v>
      </c>
      <c r="C76" t="s">
        <v>13</v>
      </c>
      <c r="D76" t="s">
        <v>8</v>
      </c>
      <c r="E76" t="s">
        <v>12</v>
      </c>
      <c r="F76">
        <v>65</v>
      </c>
    </row>
    <row r="77" spans="1:6" hidden="1" x14ac:dyDescent="0.35">
      <c r="A77">
        <v>2016</v>
      </c>
      <c r="B77" t="s">
        <v>24</v>
      </c>
      <c r="C77" t="s">
        <v>7</v>
      </c>
      <c r="D77" t="s">
        <v>14</v>
      </c>
      <c r="E77" t="s">
        <v>15</v>
      </c>
      <c r="F77">
        <v>70</v>
      </c>
    </row>
    <row r="78" spans="1:6" hidden="1" x14ac:dyDescent="0.35">
      <c r="A78">
        <v>2016</v>
      </c>
      <c r="B78" t="s">
        <v>24</v>
      </c>
      <c r="C78" t="s">
        <v>7</v>
      </c>
      <c r="D78" t="s">
        <v>14</v>
      </c>
      <c r="E78" t="s">
        <v>16</v>
      </c>
      <c r="F78">
        <v>34</v>
      </c>
    </row>
    <row r="79" spans="1:6" hidden="1" x14ac:dyDescent="0.35">
      <c r="A79">
        <v>2016</v>
      </c>
      <c r="B79" t="s">
        <v>24</v>
      </c>
      <c r="C79" t="s">
        <v>7</v>
      </c>
      <c r="D79" t="s">
        <v>14</v>
      </c>
      <c r="E79" t="s">
        <v>17</v>
      </c>
      <c r="F79">
        <v>22</v>
      </c>
    </row>
    <row r="80" spans="1:6" hidden="1" x14ac:dyDescent="0.35">
      <c r="A80">
        <v>2016</v>
      </c>
      <c r="B80" t="s">
        <v>24</v>
      </c>
      <c r="C80" t="s">
        <v>13</v>
      </c>
      <c r="D80" t="s">
        <v>14</v>
      </c>
      <c r="E80" t="s">
        <v>16</v>
      </c>
      <c r="F80">
        <v>68</v>
      </c>
    </row>
    <row r="81" spans="1:6" hidden="1" x14ac:dyDescent="0.35">
      <c r="A81">
        <v>2016</v>
      </c>
      <c r="B81" t="s">
        <v>24</v>
      </c>
      <c r="C81" t="s">
        <v>13</v>
      </c>
      <c r="D81" t="s">
        <v>14</v>
      </c>
      <c r="E81" t="s">
        <v>17</v>
      </c>
      <c r="F81">
        <v>60</v>
      </c>
    </row>
    <row r="82" spans="1:6" hidden="1" x14ac:dyDescent="0.35">
      <c r="A82">
        <v>2016</v>
      </c>
      <c r="B82" t="s">
        <v>25</v>
      </c>
      <c r="C82" t="s">
        <v>7</v>
      </c>
      <c r="D82" t="s">
        <v>8</v>
      </c>
      <c r="E82" t="s">
        <v>9</v>
      </c>
      <c r="F82">
        <v>18</v>
      </c>
    </row>
    <row r="83" spans="1:6" hidden="1" x14ac:dyDescent="0.35">
      <c r="A83">
        <v>2016</v>
      </c>
      <c r="B83" t="s">
        <v>25</v>
      </c>
      <c r="C83" t="s">
        <v>7</v>
      </c>
      <c r="D83" t="s">
        <v>8</v>
      </c>
      <c r="E83" t="s">
        <v>10</v>
      </c>
      <c r="F83">
        <v>30</v>
      </c>
    </row>
    <row r="84" spans="1:6" hidden="1" x14ac:dyDescent="0.35">
      <c r="A84">
        <v>2016</v>
      </c>
      <c r="B84" t="s">
        <v>25</v>
      </c>
      <c r="C84" t="s">
        <v>7</v>
      </c>
      <c r="D84" t="s">
        <v>8</v>
      </c>
      <c r="E84" t="s">
        <v>11</v>
      </c>
      <c r="F84">
        <v>50</v>
      </c>
    </row>
    <row r="85" spans="1:6" hidden="1" x14ac:dyDescent="0.35">
      <c r="A85">
        <v>2016</v>
      </c>
      <c r="B85" t="s">
        <v>25</v>
      </c>
      <c r="C85" t="s">
        <v>7</v>
      </c>
      <c r="D85" t="s">
        <v>8</v>
      </c>
      <c r="E85" t="s">
        <v>12</v>
      </c>
      <c r="F85">
        <v>55</v>
      </c>
    </row>
    <row r="86" spans="1:6" hidden="1" x14ac:dyDescent="0.35">
      <c r="A86">
        <v>2016</v>
      </c>
      <c r="B86" t="s">
        <v>25</v>
      </c>
      <c r="C86" t="s">
        <v>13</v>
      </c>
      <c r="D86" t="s">
        <v>8</v>
      </c>
      <c r="E86" t="s">
        <v>12</v>
      </c>
      <c r="F86">
        <v>68</v>
      </c>
    </row>
    <row r="87" spans="1:6" hidden="1" x14ac:dyDescent="0.35">
      <c r="A87">
        <v>2016</v>
      </c>
      <c r="B87" t="s">
        <v>25</v>
      </c>
      <c r="C87" t="s">
        <v>7</v>
      </c>
      <c r="D87" t="s">
        <v>14</v>
      </c>
      <c r="E87" t="s">
        <v>15</v>
      </c>
      <c r="F87">
        <v>78</v>
      </c>
    </row>
    <row r="88" spans="1:6" hidden="1" x14ac:dyDescent="0.35">
      <c r="A88">
        <v>2016</v>
      </c>
      <c r="B88" t="s">
        <v>25</v>
      </c>
      <c r="C88" t="s">
        <v>7</v>
      </c>
      <c r="D88" t="s">
        <v>14</v>
      </c>
      <c r="E88" t="s">
        <v>16</v>
      </c>
      <c r="F88">
        <v>60</v>
      </c>
    </row>
    <row r="89" spans="1:6" hidden="1" x14ac:dyDescent="0.35">
      <c r="A89">
        <v>2016</v>
      </c>
      <c r="B89" t="s">
        <v>25</v>
      </c>
      <c r="C89" t="s">
        <v>7</v>
      </c>
      <c r="D89" t="s">
        <v>14</v>
      </c>
      <c r="E89" t="s">
        <v>17</v>
      </c>
      <c r="F89">
        <v>52</v>
      </c>
    </row>
    <row r="90" spans="1:6" hidden="1" x14ac:dyDescent="0.35">
      <c r="A90">
        <v>2016</v>
      </c>
      <c r="B90" t="s">
        <v>25</v>
      </c>
      <c r="C90" t="s">
        <v>13</v>
      </c>
      <c r="D90" t="s">
        <v>14</v>
      </c>
      <c r="E90" t="s">
        <v>16</v>
      </c>
      <c r="F90">
        <v>70</v>
      </c>
    </row>
    <row r="91" spans="1:6" hidden="1" x14ac:dyDescent="0.35">
      <c r="A91">
        <v>2016</v>
      </c>
      <c r="B91" t="s">
        <v>25</v>
      </c>
      <c r="C91" t="s">
        <v>13</v>
      </c>
      <c r="D91" t="s">
        <v>14</v>
      </c>
      <c r="E91" t="s">
        <v>17</v>
      </c>
      <c r="F91">
        <v>66</v>
      </c>
    </row>
    <row r="92" spans="1:6" hidden="1" x14ac:dyDescent="0.35">
      <c r="A92">
        <v>2016</v>
      </c>
      <c r="B92" t="s">
        <v>26</v>
      </c>
      <c r="C92" t="s">
        <v>7</v>
      </c>
      <c r="D92" t="s">
        <v>8</v>
      </c>
      <c r="E92" t="s">
        <v>9</v>
      </c>
      <c r="F92">
        <v>48</v>
      </c>
    </row>
    <row r="93" spans="1:6" hidden="1" x14ac:dyDescent="0.35">
      <c r="A93">
        <v>2016</v>
      </c>
      <c r="B93" t="s">
        <v>26</v>
      </c>
      <c r="C93" t="s">
        <v>7</v>
      </c>
      <c r="D93" t="s">
        <v>8</v>
      </c>
      <c r="E93" t="s">
        <v>10</v>
      </c>
      <c r="F93">
        <v>33</v>
      </c>
    </row>
    <row r="94" spans="1:6" hidden="1" x14ac:dyDescent="0.35">
      <c r="A94">
        <v>2016</v>
      </c>
      <c r="B94" t="s">
        <v>26</v>
      </c>
      <c r="C94" t="s">
        <v>7</v>
      </c>
      <c r="D94" t="s">
        <v>8</v>
      </c>
      <c r="E94" t="s">
        <v>11</v>
      </c>
      <c r="F94">
        <v>25</v>
      </c>
    </row>
    <row r="95" spans="1:6" hidden="1" x14ac:dyDescent="0.35">
      <c r="A95">
        <v>2016</v>
      </c>
      <c r="B95" t="s">
        <v>26</v>
      </c>
      <c r="C95" t="s">
        <v>7</v>
      </c>
      <c r="D95" t="s">
        <v>8</v>
      </c>
      <c r="E95" t="s">
        <v>12</v>
      </c>
      <c r="F95">
        <v>15</v>
      </c>
    </row>
    <row r="96" spans="1:6" hidden="1" x14ac:dyDescent="0.35">
      <c r="A96">
        <v>2016</v>
      </c>
      <c r="B96" t="s">
        <v>26</v>
      </c>
      <c r="C96" t="s">
        <v>13</v>
      </c>
      <c r="D96" t="s">
        <v>8</v>
      </c>
      <c r="E96" t="s">
        <v>12</v>
      </c>
      <c r="F96">
        <v>35</v>
      </c>
    </row>
    <row r="97" spans="1:6" hidden="1" x14ac:dyDescent="0.35">
      <c r="A97">
        <v>2016</v>
      </c>
      <c r="B97" t="s">
        <v>26</v>
      </c>
      <c r="C97" t="s">
        <v>7</v>
      </c>
      <c r="D97" t="s">
        <v>14</v>
      </c>
      <c r="E97" t="s">
        <v>15</v>
      </c>
      <c r="F97">
        <v>58</v>
      </c>
    </row>
    <row r="98" spans="1:6" hidden="1" x14ac:dyDescent="0.35">
      <c r="A98">
        <v>2016</v>
      </c>
      <c r="B98" t="s">
        <v>26</v>
      </c>
      <c r="C98" t="s">
        <v>7</v>
      </c>
      <c r="D98" t="s">
        <v>14</v>
      </c>
      <c r="E98" t="s">
        <v>16</v>
      </c>
      <c r="F98">
        <v>30</v>
      </c>
    </row>
    <row r="99" spans="1:6" hidden="1" x14ac:dyDescent="0.35">
      <c r="A99">
        <v>2016</v>
      </c>
      <c r="B99" t="s">
        <v>26</v>
      </c>
      <c r="C99" t="s">
        <v>7</v>
      </c>
      <c r="D99" t="s">
        <v>14</v>
      </c>
      <c r="E99" t="s">
        <v>17</v>
      </c>
      <c r="F99">
        <v>15</v>
      </c>
    </row>
    <row r="100" spans="1:6" hidden="1" x14ac:dyDescent="0.35">
      <c r="A100">
        <v>2016</v>
      </c>
      <c r="B100" t="s">
        <v>26</v>
      </c>
      <c r="C100" t="s">
        <v>13</v>
      </c>
      <c r="D100" t="s">
        <v>14</v>
      </c>
      <c r="E100" t="s">
        <v>16</v>
      </c>
      <c r="F100">
        <v>42</v>
      </c>
    </row>
    <row r="101" spans="1:6" hidden="1" x14ac:dyDescent="0.35">
      <c r="A101">
        <v>2016</v>
      </c>
      <c r="B101" t="s">
        <v>26</v>
      </c>
      <c r="C101" t="s">
        <v>13</v>
      </c>
      <c r="D101" t="s">
        <v>14</v>
      </c>
      <c r="E101" t="s">
        <v>17</v>
      </c>
      <c r="F101">
        <v>28</v>
      </c>
    </row>
    <row r="102" spans="1:6" hidden="1" x14ac:dyDescent="0.35">
      <c r="A102">
        <v>2016</v>
      </c>
      <c r="B102" t="s">
        <v>27</v>
      </c>
      <c r="C102" t="s">
        <v>7</v>
      </c>
      <c r="D102" t="s">
        <v>8</v>
      </c>
      <c r="E102" t="s">
        <v>9</v>
      </c>
      <c r="F102">
        <v>20</v>
      </c>
    </row>
    <row r="103" spans="1:6" hidden="1" x14ac:dyDescent="0.35">
      <c r="A103">
        <v>2016</v>
      </c>
      <c r="B103" t="s">
        <v>27</v>
      </c>
      <c r="C103" t="s">
        <v>7</v>
      </c>
      <c r="D103" t="s">
        <v>8</v>
      </c>
      <c r="E103" t="s">
        <v>10</v>
      </c>
      <c r="F103">
        <v>40</v>
      </c>
    </row>
    <row r="104" spans="1:6" hidden="1" x14ac:dyDescent="0.35">
      <c r="A104">
        <v>2016</v>
      </c>
      <c r="B104" t="s">
        <v>27</v>
      </c>
      <c r="C104" t="s">
        <v>7</v>
      </c>
      <c r="D104" t="s">
        <v>8</v>
      </c>
      <c r="E104" t="s">
        <v>11</v>
      </c>
      <c r="F104">
        <v>58</v>
      </c>
    </row>
    <row r="105" spans="1:6" hidden="1" x14ac:dyDescent="0.35">
      <c r="A105">
        <v>2016</v>
      </c>
      <c r="B105" t="s">
        <v>27</v>
      </c>
      <c r="C105" t="s">
        <v>7</v>
      </c>
      <c r="D105" t="s">
        <v>8</v>
      </c>
      <c r="E105" t="s">
        <v>12</v>
      </c>
      <c r="F105">
        <v>60</v>
      </c>
    </row>
    <row r="106" spans="1:6" hidden="1" x14ac:dyDescent="0.35">
      <c r="A106">
        <v>2016</v>
      </c>
      <c r="B106" t="s">
        <v>27</v>
      </c>
      <c r="C106" t="s">
        <v>13</v>
      </c>
      <c r="D106" t="s">
        <v>8</v>
      </c>
      <c r="E106" t="s">
        <v>12</v>
      </c>
      <c r="F106">
        <v>75</v>
      </c>
    </row>
    <row r="107" spans="1:6" hidden="1" x14ac:dyDescent="0.35">
      <c r="A107">
        <v>2016</v>
      </c>
      <c r="B107" t="s">
        <v>27</v>
      </c>
      <c r="C107" t="s">
        <v>7</v>
      </c>
      <c r="D107" t="s">
        <v>14</v>
      </c>
      <c r="E107" t="s">
        <v>15</v>
      </c>
      <c r="F107">
        <v>75</v>
      </c>
    </row>
    <row r="108" spans="1:6" hidden="1" x14ac:dyDescent="0.35">
      <c r="A108">
        <v>2016</v>
      </c>
      <c r="B108" t="s">
        <v>27</v>
      </c>
      <c r="C108" t="s">
        <v>7</v>
      </c>
      <c r="D108" t="s">
        <v>14</v>
      </c>
      <c r="E108" t="s">
        <v>16</v>
      </c>
      <c r="F108">
        <v>55</v>
      </c>
    </row>
    <row r="109" spans="1:6" hidden="1" x14ac:dyDescent="0.35">
      <c r="A109">
        <v>2016</v>
      </c>
      <c r="B109" t="s">
        <v>27</v>
      </c>
      <c r="C109" t="s">
        <v>7</v>
      </c>
      <c r="D109" t="s">
        <v>14</v>
      </c>
      <c r="E109" t="s">
        <v>17</v>
      </c>
      <c r="F109">
        <v>45</v>
      </c>
    </row>
    <row r="110" spans="1:6" hidden="1" x14ac:dyDescent="0.35">
      <c r="A110">
        <v>2016</v>
      </c>
      <c r="B110" t="s">
        <v>27</v>
      </c>
      <c r="C110" t="s">
        <v>13</v>
      </c>
      <c r="D110" t="s">
        <v>14</v>
      </c>
      <c r="E110" t="s">
        <v>16</v>
      </c>
      <c r="F110">
        <v>72</v>
      </c>
    </row>
    <row r="111" spans="1:6" hidden="1" x14ac:dyDescent="0.35">
      <c r="A111">
        <v>2016</v>
      </c>
      <c r="B111" t="s">
        <v>27</v>
      </c>
      <c r="C111" t="s">
        <v>13</v>
      </c>
      <c r="D111" t="s">
        <v>14</v>
      </c>
      <c r="E111" t="s">
        <v>17</v>
      </c>
      <c r="F111">
        <v>70</v>
      </c>
    </row>
    <row r="112" spans="1:6" hidden="1" x14ac:dyDescent="0.35">
      <c r="A112">
        <v>2016</v>
      </c>
      <c r="B112" t="s">
        <v>28</v>
      </c>
      <c r="C112" t="s">
        <v>7</v>
      </c>
      <c r="D112" t="s">
        <v>8</v>
      </c>
      <c r="E112" t="s">
        <v>9</v>
      </c>
      <c r="F112">
        <v>68.5</v>
      </c>
    </row>
    <row r="113" spans="1:6" hidden="1" x14ac:dyDescent="0.35">
      <c r="A113">
        <v>2016</v>
      </c>
      <c r="B113" t="s">
        <v>28</v>
      </c>
      <c r="C113" t="s">
        <v>7</v>
      </c>
      <c r="D113" t="s">
        <v>8</v>
      </c>
      <c r="E113" t="s">
        <v>10</v>
      </c>
      <c r="F113">
        <v>15.3</v>
      </c>
    </row>
    <row r="114" spans="1:6" hidden="1" x14ac:dyDescent="0.35">
      <c r="A114">
        <v>2016</v>
      </c>
      <c r="B114" t="s">
        <v>28</v>
      </c>
      <c r="C114" t="s">
        <v>7</v>
      </c>
      <c r="D114" t="s">
        <v>8</v>
      </c>
      <c r="E114" t="s">
        <v>11</v>
      </c>
      <c r="F114">
        <v>8.9</v>
      </c>
    </row>
    <row r="115" spans="1:6" hidden="1" x14ac:dyDescent="0.35">
      <c r="A115">
        <v>2016</v>
      </c>
      <c r="B115" t="s">
        <v>28</v>
      </c>
      <c r="C115" t="s">
        <v>7</v>
      </c>
      <c r="D115" t="s">
        <v>8</v>
      </c>
      <c r="E115" t="s">
        <v>12</v>
      </c>
      <c r="F115">
        <v>7.2</v>
      </c>
    </row>
    <row r="116" spans="1:6" hidden="1" x14ac:dyDescent="0.35">
      <c r="A116">
        <v>2016</v>
      </c>
      <c r="B116" t="s">
        <v>28</v>
      </c>
      <c r="C116" t="s">
        <v>13</v>
      </c>
      <c r="D116" t="s">
        <v>8</v>
      </c>
      <c r="E116" t="s">
        <v>12</v>
      </c>
      <c r="F116">
        <v>30</v>
      </c>
    </row>
    <row r="117" spans="1:6" hidden="1" x14ac:dyDescent="0.35">
      <c r="A117">
        <v>2016</v>
      </c>
      <c r="B117" t="s">
        <v>28</v>
      </c>
      <c r="C117" t="s">
        <v>7</v>
      </c>
      <c r="D117" t="s">
        <v>14</v>
      </c>
      <c r="E117" t="s">
        <v>15</v>
      </c>
      <c r="F117">
        <v>65</v>
      </c>
    </row>
    <row r="118" spans="1:6" hidden="1" x14ac:dyDescent="0.35">
      <c r="A118">
        <v>2016</v>
      </c>
      <c r="B118" t="s">
        <v>28</v>
      </c>
      <c r="C118" t="s">
        <v>7</v>
      </c>
      <c r="D118" t="s">
        <v>14</v>
      </c>
      <c r="E118" t="s">
        <v>16</v>
      </c>
      <c r="F118">
        <v>25</v>
      </c>
    </row>
    <row r="119" spans="1:6" hidden="1" x14ac:dyDescent="0.35">
      <c r="A119">
        <v>2016</v>
      </c>
      <c r="B119" t="s">
        <v>28</v>
      </c>
      <c r="C119" t="s">
        <v>7</v>
      </c>
      <c r="D119" t="s">
        <v>14</v>
      </c>
      <c r="E119" t="s">
        <v>17</v>
      </c>
      <c r="F119">
        <v>18</v>
      </c>
    </row>
    <row r="120" spans="1:6" hidden="1" x14ac:dyDescent="0.35">
      <c r="A120">
        <v>2016</v>
      </c>
      <c r="B120" t="s">
        <v>28</v>
      </c>
      <c r="C120" t="s">
        <v>13</v>
      </c>
      <c r="D120" t="s">
        <v>14</v>
      </c>
      <c r="E120" t="s">
        <v>16</v>
      </c>
      <c r="F120">
        <v>38</v>
      </c>
    </row>
    <row r="121" spans="1:6" hidden="1" x14ac:dyDescent="0.35">
      <c r="A121">
        <v>2016</v>
      </c>
      <c r="B121" t="s">
        <v>28</v>
      </c>
      <c r="C121" t="s">
        <v>13</v>
      </c>
      <c r="D121" t="s">
        <v>14</v>
      </c>
      <c r="E121" t="s">
        <v>17</v>
      </c>
      <c r="F121">
        <v>27</v>
      </c>
    </row>
    <row r="122" spans="1:6" hidden="1" x14ac:dyDescent="0.35">
      <c r="A122">
        <v>2016</v>
      </c>
      <c r="B122" t="s">
        <v>29</v>
      </c>
      <c r="C122" t="s">
        <v>7</v>
      </c>
      <c r="D122" t="s">
        <v>8</v>
      </c>
      <c r="E122" t="s">
        <v>9</v>
      </c>
      <c r="F122">
        <v>45</v>
      </c>
    </row>
    <row r="123" spans="1:6" hidden="1" x14ac:dyDescent="0.35">
      <c r="A123">
        <v>2016</v>
      </c>
      <c r="B123" t="s">
        <v>29</v>
      </c>
      <c r="C123" t="s">
        <v>7</v>
      </c>
      <c r="D123" t="s">
        <v>8</v>
      </c>
      <c r="E123" t="s">
        <v>10</v>
      </c>
      <c r="F123">
        <v>35</v>
      </c>
    </row>
    <row r="124" spans="1:6" hidden="1" x14ac:dyDescent="0.35">
      <c r="A124">
        <v>2016</v>
      </c>
      <c r="B124" t="s">
        <v>29</v>
      </c>
      <c r="C124" t="s">
        <v>7</v>
      </c>
      <c r="D124" t="s">
        <v>8</v>
      </c>
      <c r="E124" t="s">
        <v>11</v>
      </c>
      <c r="F124">
        <v>30</v>
      </c>
    </row>
    <row r="125" spans="1:6" hidden="1" x14ac:dyDescent="0.35">
      <c r="A125">
        <v>2016</v>
      </c>
      <c r="B125" t="s">
        <v>29</v>
      </c>
      <c r="C125" t="s">
        <v>7</v>
      </c>
      <c r="D125" t="s">
        <v>8</v>
      </c>
      <c r="E125" t="s">
        <v>12</v>
      </c>
      <c r="F125">
        <v>20</v>
      </c>
    </row>
    <row r="126" spans="1:6" hidden="1" x14ac:dyDescent="0.35">
      <c r="A126">
        <v>2016</v>
      </c>
      <c r="B126" t="s">
        <v>29</v>
      </c>
      <c r="C126" t="s">
        <v>13</v>
      </c>
      <c r="D126" t="s">
        <v>8</v>
      </c>
      <c r="E126" t="s">
        <v>12</v>
      </c>
      <c r="F126">
        <v>40</v>
      </c>
    </row>
    <row r="127" spans="1:6" hidden="1" x14ac:dyDescent="0.35">
      <c r="A127">
        <v>2016</v>
      </c>
      <c r="B127" t="s">
        <v>29</v>
      </c>
      <c r="C127" t="s">
        <v>7</v>
      </c>
      <c r="D127" t="s">
        <v>14</v>
      </c>
      <c r="E127" t="s">
        <v>15</v>
      </c>
      <c r="F127">
        <v>60</v>
      </c>
    </row>
    <row r="128" spans="1:6" hidden="1" x14ac:dyDescent="0.35">
      <c r="A128">
        <v>2016</v>
      </c>
      <c r="B128" t="s">
        <v>29</v>
      </c>
      <c r="C128" t="s">
        <v>7</v>
      </c>
      <c r="D128" t="s">
        <v>14</v>
      </c>
      <c r="E128" t="s">
        <v>16</v>
      </c>
      <c r="F128">
        <v>45</v>
      </c>
    </row>
    <row r="129" spans="1:6" hidden="1" x14ac:dyDescent="0.35">
      <c r="A129">
        <v>2016</v>
      </c>
      <c r="B129" t="s">
        <v>29</v>
      </c>
      <c r="C129" t="s">
        <v>7</v>
      </c>
      <c r="D129" t="s">
        <v>14</v>
      </c>
      <c r="E129" t="s">
        <v>17</v>
      </c>
      <c r="F129">
        <v>30</v>
      </c>
    </row>
    <row r="130" spans="1:6" hidden="1" x14ac:dyDescent="0.35">
      <c r="A130">
        <v>2016</v>
      </c>
      <c r="B130" t="s">
        <v>29</v>
      </c>
      <c r="C130" t="s">
        <v>13</v>
      </c>
      <c r="D130" t="s">
        <v>14</v>
      </c>
      <c r="E130" t="s">
        <v>16</v>
      </c>
      <c r="F130">
        <v>55</v>
      </c>
    </row>
    <row r="131" spans="1:6" hidden="1" x14ac:dyDescent="0.35">
      <c r="A131">
        <v>2016</v>
      </c>
      <c r="B131" t="s">
        <v>29</v>
      </c>
      <c r="C131" t="s">
        <v>13</v>
      </c>
      <c r="D131" t="s">
        <v>14</v>
      </c>
      <c r="E131" t="s">
        <v>17</v>
      </c>
      <c r="F131">
        <v>42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54CF-B71C-4171-8700-E5BBA8269136}">
  <dimension ref="A1:F131"/>
  <sheetViews>
    <sheetView workbookViewId="0">
      <pane ySplit="1" topLeftCell="A2" activePane="bottomLeft" state="frozen"/>
      <selection pane="bottomLeft" activeCell="K16" sqref="K13:K16"/>
    </sheetView>
  </sheetViews>
  <sheetFormatPr defaultRowHeight="14.5" x14ac:dyDescent="0.35"/>
  <cols>
    <col min="2" max="2" width="14" customWidth="1"/>
    <col min="3" max="3" width="12.08984375" customWidth="1"/>
    <col min="4" max="4" width="12.6328125" customWidth="1"/>
    <col min="5" max="6" width="12.1796875" customWidth="1"/>
  </cols>
  <sheetData>
    <row r="1" spans="1:6" x14ac:dyDescent="0.35">
      <c r="A1" t="s">
        <v>0</v>
      </c>
      <c r="B1" t="s">
        <v>1</v>
      </c>
      <c r="C1" t="s">
        <v>2</v>
      </c>
      <c r="D1" t="s">
        <v>3</v>
      </c>
      <c r="E1" t="s">
        <v>4</v>
      </c>
      <c r="F1" t="s">
        <v>5</v>
      </c>
    </row>
    <row r="2" spans="1:6" x14ac:dyDescent="0.35">
      <c r="A2">
        <v>2018</v>
      </c>
      <c r="B2" t="s">
        <v>6</v>
      </c>
      <c r="C2" t="s">
        <v>7</v>
      </c>
      <c r="D2" t="s">
        <v>8</v>
      </c>
      <c r="E2" t="s">
        <v>9</v>
      </c>
      <c r="F2">
        <v>58.4</v>
      </c>
    </row>
    <row r="3" spans="1:6" x14ac:dyDescent="0.35">
      <c r="A3">
        <v>2018</v>
      </c>
      <c r="B3" t="s">
        <v>6</v>
      </c>
      <c r="C3" t="s">
        <v>7</v>
      </c>
      <c r="D3" t="s">
        <v>8</v>
      </c>
      <c r="E3" t="s">
        <v>10</v>
      </c>
      <c r="F3">
        <v>28.1</v>
      </c>
    </row>
    <row r="4" spans="1:6" x14ac:dyDescent="0.35">
      <c r="A4">
        <v>2018</v>
      </c>
      <c r="B4" t="s">
        <v>6</v>
      </c>
      <c r="C4" t="s">
        <v>7</v>
      </c>
      <c r="D4" t="s">
        <v>8</v>
      </c>
      <c r="E4" t="s">
        <v>11</v>
      </c>
      <c r="F4">
        <v>17.5</v>
      </c>
    </row>
    <row r="5" spans="1:6" x14ac:dyDescent="0.35">
      <c r="A5">
        <v>2018</v>
      </c>
      <c r="B5" t="s">
        <v>6</v>
      </c>
      <c r="C5" t="s">
        <v>7</v>
      </c>
      <c r="D5" t="s">
        <v>8</v>
      </c>
      <c r="E5" t="s">
        <v>12</v>
      </c>
      <c r="F5">
        <v>9.8000000000000007</v>
      </c>
    </row>
    <row r="6" spans="1:6" x14ac:dyDescent="0.35">
      <c r="A6">
        <v>2018</v>
      </c>
      <c r="B6" t="s">
        <v>6</v>
      </c>
      <c r="C6" t="s">
        <v>13</v>
      </c>
      <c r="D6" t="s">
        <v>8</v>
      </c>
      <c r="E6" t="s">
        <v>12</v>
      </c>
      <c r="F6">
        <v>27.3</v>
      </c>
    </row>
    <row r="7" spans="1:6" x14ac:dyDescent="0.35">
      <c r="A7">
        <v>2018</v>
      </c>
      <c r="B7" t="s">
        <v>6</v>
      </c>
      <c r="C7" t="s">
        <v>7</v>
      </c>
      <c r="D7" t="s">
        <v>14</v>
      </c>
      <c r="E7" t="s">
        <v>15</v>
      </c>
      <c r="F7">
        <v>64.2</v>
      </c>
    </row>
    <row r="8" spans="1:6" x14ac:dyDescent="0.35">
      <c r="A8">
        <v>2018</v>
      </c>
      <c r="B8" t="s">
        <v>6</v>
      </c>
      <c r="C8" t="s">
        <v>7</v>
      </c>
      <c r="D8" t="s">
        <v>14</v>
      </c>
      <c r="E8" t="s">
        <v>16</v>
      </c>
      <c r="F8">
        <v>36.5</v>
      </c>
    </row>
    <row r="9" spans="1:6" x14ac:dyDescent="0.35">
      <c r="A9">
        <v>2018</v>
      </c>
      <c r="B9" t="s">
        <v>6</v>
      </c>
      <c r="C9" t="s">
        <v>7</v>
      </c>
      <c r="D9" t="s">
        <v>14</v>
      </c>
      <c r="E9" t="s">
        <v>17</v>
      </c>
      <c r="F9">
        <v>21.4</v>
      </c>
    </row>
    <row r="10" spans="1:6" x14ac:dyDescent="0.35">
      <c r="A10">
        <v>2018</v>
      </c>
      <c r="B10" t="s">
        <v>6</v>
      </c>
      <c r="C10" t="s">
        <v>13</v>
      </c>
      <c r="D10" t="s">
        <v>14</v>
      </c>
      <c r="E10" t="s">
        <v>16</v>
      </c>
      <c r="F10">
        <v>45.2</v>
      </c>
    </row>
    <row r="11" spans="1:6" x14ac:dyDescent="0.35">
      <c r="A11">
        <v>2018</v>
      </c>
      <c r="B11" t="s">
        <v>6</v>
      </c>
      <c r="C11" t="s">
        <v>13</v>
      </c>
      <c r="D11" t="s">
        <v>14</v>
      </c>
      <c r="E11" t="s">
        <v>17</v>
      </c>
      <c r="F11">
        <v>28.9</v>
      </c>
    </row>
    <row r="12" spans="1:6" x14ac:dyDescent="0.35">
      <c r="A12">
        <v>2018</v>
      </c>
      <c r="B12" t="s">
        <v>18</v>
      </c>
      <c r="C12" t="s">
        <v>7</v>
      </c>
      <c r="D12" t="s">
        <v>8</v>
      </c>
      <c r="E12" t="s">
        <v>9</v>
      </c>
      <c r="F12">
        <v>50.7</v>
      </c>
    </row>
    <row r="13" spans="1:6" x14ac:dyDescent="0.35">
      <c r="A13">
        <v>2018</v>
      </c>
      <c r="B13" t="s">
        <v>18</v>
      </c>
      <c r="C13" t="s">
        <v>7</v>
      </c>
      <c r="D13" t="s">
        <v>8</v>
      </c>
      <c r="E13" t="s">
        <v>10</v>
      </c>
      <c r="F13">
        <v>30.4</v>
      </c>
    </row>
    <row r="14" spans="1:6" x14ac:dyDescent="0.35">
      <c r="A14">
        <v>2018</v>
      </c>
      <c r="B14" t="s">
        <v>18</v>
      </c>
      <c r="C14" t="s">
        <v>7</v>
      </c>
      <c r="D14" t="s">
        <v>8</v>
      </c>
      <c r="E14" t="s">
        <v>11</v>
      </c>
      <c r="F14">
        <v>21.6</v>
      </c>
    </row>
    <row r="15" spans="1:6" x14ac:dyDescent="0.35">
      <c r="A15">
        <v>2018</v>
      </c>
      <c r="B15" t="s">
        <v>18</v>
      </c>
      <c r="C15" t="s">
        <v>7</v>
      </c>
      <c r="D15" t="s">
        <v>8</v>
      </c>
      <c r="E15" t="s">
        <v>12</v>
      </c>
      <c r="F15">
        <v>12.3</v>
      </c>
    </row>
    <row r="16" spans="1:6" x14ac:dyDescent="0.35">
      <c r="A16">
        <v>2018</v>
      </c>
      <c r="B16" t="s">
        <v>18</v>
      </c>
      <c r="C16" t="s">
        <v>13</v>
      </c>
      <c r="D16" t="s">
        <v>8</v>
      </c>
      <c r="E16" t="s">
        <v>12</v>
      </c>
      <c r="F16">
        <v>31.5</v>
      </c>
    </row>
    <row r="17" spans="1:6" x14ac:dyDescent="0.35">
      <c r="A17">
        <v>2018</v>
      </c>
      <c r="B17" t="s">
        <v>18</v>
      </c>
      <c r="C17" t="s">
        <v>7</v>
      </c>
      <c r="D17" t="s">
        <v>14</v>
      </c>
      <c r="E17" t="s">
        <v>15</v>
      </c>
      <c r="F17">
        <v>60.1</v>
      </c>
    </row>
    <row r="18" spans="1:6" x14ac:dyDescent="0.35">
      <c r="A18">
        <v>2018</v>
      </c>
      <c r="B18" t="s">
        <v>18</v>
      </c>
      <c r="C18" t="s">
        <v>7</v>
      </c>
      <c r="D18" t="s">
        <v>14</v>
      </c>
      <c r="E18" t="s">
        <v>16</v>
      </c>
      <c r="F18">
        <v>42.7</v>
      </c>
    </row>
    <row r="19" spans="1:6" x14ac:dyDescent="0.35">
      <c r="A19">
        <v>2018</v>
      </c>
      <c r="B19" t="s">
        <v>18</v>
      </c>
      <c r="C19" t="s">
        <v>7</v>
      </c>
      <c r="D19" t="s">
        <v>14</v>
      </c>
      <c r="E19" t="s">
        <v>17</v>
      </c>
      <c r="F19">
        <v>24.8</v>
      </c>
    </row>
    <row r="20" spans="1:6" x14ac:dyDescent="0.35">
      <c r="A20">
        <v>2018</v>
      </c>
      <c r="B20" t="s">
        <v>18</v>
      </c>
      <c r="C20" t="s">
        <v>13</v>
      </c>
      <c r="D20" t="s">
        <v>14</v>
      </c>
      <c r="E20" t="s">
        <v>16</v>
      </c>
      <c r="F20">
        <v>52.9</v>
      </c>
    </row>
    <row r="21" spans="1:6" x14ac:dyDescent="0.35">
      <c r="A21">
        <v>2018</v>
      </c>
      <c r="B21" t="s">
        <v>18</v>
      </c>
      <c r="C21" t="s">
        <v>13</v>
      </c>
      <c r="D21" t="s">
        <v>14</v>
      </c>
      <c r="E21" t="s">
        <v>17</v>
      </c>
      <c r="F21">
        <v>34.6</v>
      </c>
    </row>
    <row r="22" spans="1:6" x14ac:dyDescent="0.35">
      <c r="A22">
        <v>2018</v>
      </c>
      <c r="B22" t="s">
        <v>19</v>
      </c>
      <c r="C22" t="s">
        <v>7</v>
      </c>
      <c r="D22" t="s">
        <v>8</v>
      </c>
      <c r="E22" t="s">
        <v>9</v>
      </c>
      <c r="F22">
        <v>32.6</v>
      </c>
    </row>
    <row r="23" spans="1:6" x14ac:dyDescent="0.35">
      <c r="A23">
        <v>2018</v>
      </c>
      <c r="B23" t="s">
        <v>19</v>
      </c>
      <c r="C23" t="s">
        <v>7</v>
      </c>
      <c r="D23" t="s">
        <v>8</v>
      </c>
      <c r="E23" t="s">
        <v>10</v>
      </c>
      <c r="F23">
        <v>38.9</v>
      </c>
    </row>
    <row r="24" spans="1:6" x14ac:dyDescent="0.35">
      <c r="A24">
        <v>2018</v>
      </c>
      <c r="B24" t="s">
        <v>19</v>
      </c>
      <c r="C24" t="s">
        <v>7</v>
      </c>
      <c r="D24" t="s">
        <v>8</v>
      </c>
      <c r="E24" t="s">
        <v>11</v>
      </c>
      <c r="F24">
        <v>42.3</v>
      </c>
    </row>
    <row r="25" spans="1:6" x14ac:dyDescent="0.35">
      <c r="A25">
        <v>2018</v>
      </c>
      <c r="B25" t="s">
        <v>19</v>
      </c>
      <c r="C25" t="s">
        <v>7</v>
      </c>
      <c r="D25" t="s">
        <v>8</v>
      </c>
      <c r="E25" t="s">
        <v>12</v>
      </c>
      <c r="F25">
        <v>47.5</v>
      </c>
    </row>
    <row r="26" spans="1:6" x14ac:dyDescent="0.35">
      <c r="A26">
        <v>2018</v>
      </c>
      <c r="B26" t="s">
        <v>19</v>
      </c>
      <c r="C26" t="s">
        <v>13</v>
      </c>
      <c r="D26" t="s">
        <v>8</v>
      </c>
      <c r="E26" t="s">
        <v>12</v>
      </c>
      <c r="F26">
        <v>58.7</v>
      </c>
    </row>
    <row r="27" spans="1:6" x14ac:dyDescent="0.35">
      <c r="A27">
        <v>2018</v>
      </c>
      <c r="B27" t="s">
        <v>19</v>
      </c>
      <c r="C27" t="s">
        <v>7</v>
      </c>
      <c r="D27" t="s">
        <v>14</v>
      </c>
      <c r="E27" t="s">
        <v>15</v>
      </c>
      <c r="F27">
        <v>70.400000000000006</v>
      </c>
    </row>
    <row r="28" spans="1:6" x14ac:dyDescent="0.35">
      <c r="A28">
        <v>2018</v>
      </c>
      <c r="B28" t="s">
        <v>19</v>
      </c>
      <c r="C28" t="s">
        <v>7</v>
      </c>
      <c r="D28" t="s">
        <v>14</v>
      </c>
      <c r="E28" t="s">
        <v>16</v>
      </c>
      <c r="F28">
        <v>49.2</v>
      </c>
    </row>
    <row r="29" spans="1:6" x14ac:dyDescent="0.35">
      <c r="A29">
        <v>2018</v>
      </c>
      <c r="B29" t="s">
        <v>19</v>
      </c>
      <c r="C29" t="s">
        <v>7</v>
      </c>
      <c r="D29" t="s">
        <v>14</v>
      </c>
      <c r="E29" t="s">
        <v>17</v>
      </c>
      <c r="F29">
        <v>32.6</v>
      </c>
    </row>
    <row r="30" spans="1:6" x14ac:dyDescent="0.35">
      <c r="A30">
        <v>2018</v>
      </c>
      <c r="B30" t="s">
        <v>19</v>
      </c>
      <c r="C30" t="s">
        <v>13</v>
      </c>
      <c r="D30" t="s">
        <v>14</v>
      </c>
      <c r="E30" t="s">
        <v>16</v>
      </c>
      <c r="F30">
        <v>60.3</v>
      </c>
    </row>
    <row r="31" spans="1:6" x14ac:dyDescent="0.35">
      <c r="A31">
        <v>2018</v>
      </c>
      <c r="B31" t="s">
        <v>19</v>
      </c>
      <c r="C31" t="s">
        <v>13</v>
      </c>
      <c r="D31" t="s">
        <v>14</v>
      </c>
      <c r="E31" t="s">
        <v>17</v>
      </c>
      <c r="F31">
        <v>44.8</v>
      </c>
    </row>
    <row r="32" spans="1:6" x14ac:dyDescent="0.35">
      <c r="A32">
        <v>2018</v>
      </c>
      <c r="B32" t="s">
        <v>20</v>
      </c>
      <c r="C32" t="s">
        <v>7</v>
      </c>
      <c r="D32" t="s">
        <v>8</v>
      </c>
      <c r="E32" t="s">
        <v>9</v>
      </c>
      <c r="F32">
        <v>10.199999999999999</v>
      </c>
    </row>
    <row r="33" spans="1:6" x14ac:dyDescent="0.35">
      <c r="A33">
        <v>2018</v>
      </c>
      <c r="B33" t="s">
        <v>20</v>
      </c>
      <c r="C33" t="s">
        <v>7</v>
      </c>
      <c r="D33" t="s">
        <v>8</v>
      </c>
      <c r="E33" t="s">
        <v>10</v>
      </c>
      <c r="F33">
        <v>14.8</v>
      </c>
    </row>
    <row r="34" spans="1:6" x14ac:dyDescent="0.35">
      <c r="A34">
        <v>2018</v>
      </c>
      <c r="B34" t="s">
        <v>20</v>
      </c>
      <c r="C34" t="s">
        <v>7</v>
      </c>
      <c r="D34" t="s">
        <v>8</v>
      </c>
      <c r="E34" t="s">
        <v>11</v>
      </c>
      <c r="F34">
        <v>28.6</v>
      </c>
    </row>
    <row r="35" spans="1:6" x14ac:dyDescent="0.35">
      <c r="A35">
        <v>2018</v>
      </c>
      <c r="B35" t="s">
        <v>20</v>
      </c>
      <c r="C35" t="s">
        <v>7</v>
      </c>
      <c r="D35" t="s">
        <v>8</v>
      </c>
      <c r="E35" t="s">
        <v>12</v>
      </c>
      <c r="F35">
        <v>46.3</v>
      </c>
    </row>
    <row r="36" spans="1:6" x14ac:dyDescent="0.35">
      <c r="A36">
        <v>2018</v>
      </c>
      <c r="B36" t="s">
        <v>20</v>
      </c>
      <c r="C36" t="s">
        <v>13</v>
      </c>
      <c r="D36" t="s">
        <v>8</v>
      </c>
      <c r="E36" t="s">
        <v>12</v>
      </c>
      <c r="F36">
        <v>74.5</v>
      </c>
    </row>
    <row r="37" spans="1:6" x14ac:dyDescent="0.35">
      <c r="A37">
        <v>2018</v>
      </c>
      <c r="B37" t="s">
        <v>20</v>
      </c>
      <c r="C37" t="s">
        <v>7</v>
      </c>
      <c r="D37" t="s">
        <v>14</v>
      </c>
      <c r="E37" t="s">
        <v>15</v>
      </c>
      <c r="F37">
        <v>88.1</v>
      </c>
    </row>
    <row r="38" spans="1:6" x14ac:dyDescent="0.35">
      <c r="A38">
        <v>2018</v>
      </c>
      <c r="B38" t="s">
        <v>20</v>
      </c>
      <c r="C38" t="s">
        <v>7</v>
      </c>
      <c r="D38" t="s">
        <v>14</v>
      </c>
      <c r="E38" t="s">
        <v>16</v>
      </c>
      <c r="F38">
        <v>68.900000000000006</v>
      </c>
    </row>
    <row r="39" spans="1:6" x14ac:dyDescent="0.35">
      <c r="A39">
        <v>2018</v>
      </c>
      <c r="B39" t="s">
        <v>20</v>
      </c>
      <c r="C39" t="s">
        <v>7</v>
      </c>
      <c r="D39" t="s">
        <v>14</v>
      </c>
      <c r="E39" t="s">
        <v>17</v>
      </c>
      <c r="F39">
        <v>52.4</v>
      </c>
    </row>
    <row r="40" spans="1:6" x14ac:dyDescent="0.35">
      <c r="A40">
        <v>2018</v>
      </c>
      <c r="B40" t="s">
        <v>20</v>
      </c>
      <c r="C40" t="s">
        <v>13</v>
      </c>
      <c r="D40" t="s">
        <v>14</v>
      </c>
      <c r="E40" t="s">
        <v>16</v>
      </c>
      <c r="F40">
        <v>87.6</v>
      </c>
    </row>
    <row r="41" spans="1:6" x14ac:dyDescent="0.35">
      <c r="A41">
        <v>2018</v>
      </c>
      <c r="B41" t="s">
        <v>20</v>
      </c>
      <c r="C41" t="s">
        <v>13</v>
      </c>
      <c r="D41" t="s">
        <v>14</v>
      </c>
      <c r="E41" t="s">
        <v>17</v>
      </c>
      <c r="F41">
        <v>51.5</v>
      </c>
    </row>
    <row r="42" spans="1:6" x14ac:dyDescent="0.35">
      <c r="A42">
        <v>2018</v>
      </c>
      <c r="B42" t="s">
        <v>21</v>
      </c>
      <c r="C42" t="s">
        <v>7</v>
      </c>
      <c r="D42" t="s">
        <v>8</v>
      </c>
      <c r="E42" t="s">
        <v>9</v>
      </c>
      <c r="F42">
        <v>50.2</v>
      </c>
    </row>
    <row r="43" spans="1:6" x14ac:dyDescent="0.35">
      <c r="A43">
        <v>2018</v>
      </c>
      <c r="B43" t="s">
        <v>21</v>
      </c>
      <c r="C43" t="s">
        <v>7</v>
      </c>
      <c r="D43" t="s">
        <v>8</v>
      </c>
      <c r="E43" t="s">
        <v>10</v>
      </c>
      <c r="F43">
        <v>29.7</v>
      </c>
    </row>
    <row r="44" spans="1:6" x14ac:dyDescent="0.35">
      <c r="A44">
        <v>2018</v>
      </c>
      <c r="B44" t="s">
        <v>21</v>
      </c>
      <c r="C44" t="s">
        <v>7</v>
      </c>
      <c r="D44" t="s">
        <v>8</v>
      </c>
      <c r="E44" t="s">
        <v>11</v>
      </c>
      <c r="F44">
        <v>18.899999999999999</v>
      </c>
    </row>
    <row r="45" spans="1:6" x14ac:dyDescent="0.35">
      <c r="A45">
        <v>2018</v>
      </c>
      <c r="B45" t="s">
        <v>21</v>
      </c>
      <c r="C45" t="s">
        <v>7</v>
      </c>
      <c r="D45" t="s">
        <v>8</v>
      </c>
      <c r="E45" t="s">
        <v>12</v>
      </c>
      <c r="F45">
        <v>9.6</v>
      </c>
    </row>
    <row r="46" spans="1:6" x14ac:dyDescent="0.35">
      <c r="A46">
        <v>2018</v>
      </c>
      <c r="B46" t="s">
        <v>21</v>
      </c>
      <c r="C46" t="s">
        <v>13</v>
      </c>
      <c r="D46" t="s">
        <v>8</v>
      </c>
      <c r="E46" t="s">
        <v>12</v>
      </c>
      <c r="F46">
        <v>29.4</v>
      </c>
    </row>
    <row r="47" spans="1:6" x14ac:dyDescent="0.35">
      <c r="A47">
        <v>2018</v>
      </c>
      <c r="B47" t="s">
        <v>21</v>
      </c>
      <c r="C47" t="s">
        <v>7</v>
      </c>
      <c r="D47" t="s">
        <v>14</v>
      </c>
      <c r="E47" t="s">
        <v>15</v>
      </c>
      <c r="F47">
        <v>61.8</v>
      </c>
    </row>
    <row r="48" spans="1:6" x14ac:dyDescent="0.35">
      <c r="A48">
        <v>2018</v>
      </c>
      <c r="B48" t="s">
        <v>21</v>
      </c>
      <c r="C48" t="s">
        <v>7</v>
      </c>
      <c r="D48" t="s">
        <v>14</v>
      </c>
      <c r="E48" t="s">
        <v>16</v>
      </c>
      <c r="F48">
        <v>34.6</v>
      </c>
    </row>
    <row r="49" spans="1:6" x14ac:dyDescent="0.35">
      <c r="A49">
        <v>2018</v>
      </c>
      <c r="B49" t="s">
        <v>21</v>
      </c>
      <c r="C49" t="s">
        <v>7</v>
      </c>
      <c r="D49" t="s">
        <v>14</v>
      </c>
      <c r="E49" t="s">
        <v>17</v>
      </c>
      <c r="F49">
        <v>20.3</v>
      </c>
    </row>
    <row r="50" spans="1:6" x14ac:dyDescent="0.35">
      <c r="A50">
        <v>2018</v>
      </c>
      <c r="B50" t="s">
        <v>21</v>
      </c>
      <c r="C50" t="s">
        <v>13</v>
      </c>
      <c r="D50" t="s">
        <v>14</v>
      </c>
      <c r="E50" t="s">
        <v>16</v>
      </c>
      <c r="F50">
        <v>49.2</v>
      </c>
    </row>
    <row r="51" spans="1:6" x14ac:dyDescent="0.35">
      <c r="A51">
        <v>2018</v>
      </c>
      <c r="B51" t="s">
        <v>21</v>
      </c>
      <c r="C51" t="s">
        <v>13</v>
      </c>
      <c r="D51" t="s">
        <v>14</v>
      </c>
      <c r="E51" t="s">
        <v>17</v>
      </c>
      <c r="F51">
        <v>15.6</v>
      </c>
    </row>
    <row r="52" spans="1:6" x14ac:dyDescent="0.35">
      <c r="A52">
        <v>2018</v>
      </c>
      <c r="B52" t="s">
        <v>22</v>
      </c>
      <c r="C52" t="s">
        <v>7</v>
      </c>
      <c r="D52" t="s">
        <v>8</v>
      </c>
      <c r="E52" t="s">
        <v>9</v>
      </c>
      <c r="F52">
        <v>5.6</v>
      </c>
    </row>
    <row r="53" spans="1:6" x14ac:dyDescent="0.35">
      <c r="A53">
        <v>2018</v>
      </c>
      <c r="B53" t="s">
        <v>22</v>
      </c>
      <c r="C53" t="s">
        <v>7</v>
      </c>
      <c r="D53" t="s">
        <v>8</v>
      </c>
      <c r="E53" t="s">
        <v>10</v>
      </c>
      <c r="F53">
        <v>9.4</v>
      </c>
    </row>
    <row r="54" spans="1:6" x14ac:dyDescent="0.35">
      <c r="A54">
        <v>2018</v>
      </c>
      <c r="B54" t="s">
        <v>22</v>
      </c>
      <c r="C54" t="s">
        <v>7</v>
      </c>
      <c r="D54" t="s">
        <v>8</v>
      </c>
      <c r="E54" t="s">
        <v>11</v>
      </c>
      <c r="F54">
        <v>30.5</v>
      </c>
    </row>
    <row r="55" spans="1:6" x14ac:dyDescent="0.35">
      <c r="A55">
        <v>2018</v>
      </c>
      <c r="B55" t="s">
        <v>22</v>
      </c>
      <c r="C55" t="s">
        <v>7</v>
      </c>
      <c r="D55" t="s">
        <v>8</v>
      </c>
      <c r="E55" t="s">
        <v>12</v>
      </c>
      <c r="F55">
        <v>62.1</v>
      </c>
    </row>
    <row r="56" spans="1:6" x14ac:dyDescent="0.35">
      <c r="A56">
        <v>2018</v>
      </c>
      <c r="B56" t="s">
        <v>22</v>
      </c>
      <c r="C56" t="s">
        <v>13</v>
      </c>
      <c r="D56" t="s">
        <v>8</v>
      </c>
      <c r="E56" t="s">
        <v>12</v>
      </c>
      <c r="F56">
        <v>73.099999999999994</v>
      </c>
    </row>
    <row r="57" spans="1:6" x14ac:dyDescent="0.35">
      <c r="A57">
        <v>2018</v>
      </c>
      <c r="B57" t="s">
        <v>22</v>
      </c>
      <c r="C57" t="s">
        <v>7</v>
      </c>
      <c r="D57" t="s">
        <v>14</v>
      </c>
      <c r="E57" t="s">
        <v>15</v>
      </c>
      <c r="F57">
        <v>91.3</v>
      </c>
    </row>
    <row r="58" spans="1:6" x14ac:dyDescent="0.35">
      <c r="A58">
        <v>2018</v>
      </c>
      <c r="B58" t="s">
        <v>22</v>
      </c>
      <c r="C58" t="s">
        <v>7</v>
      </c>
      <c r="D58" t="s">
        <v>14</v>
      </c>
      <c r="E58" t="s">
        <v>16</v>
      </c>
      <c r="F58">
        <v>79.599999999999994</v>
      </c>
    </row>
    <row r="59" spans="1:6" x14ac:dyDescent="0.35">
      <c r="A59">
        <v>2018</v>
      </c>
      <c r="B59" t="s">
        <v>22</v>
      </c>
      <c r="C59" t="s">
        <v>7</v>
      </c>
      <c r="D59" t="s">
        <v>14</v>
      </c>
      <c r="E59" t="s">
        <v>17</v>
      </c>
      <c r="F59">
        <v>63.4</v>
      </c>
    </row>
    <row r="60" spans="1:6" x14ac:dyDescent="0.35">
      <c r="A60">
        <v>2018</v>
      </c>
      <c r="B60" t="s">
        <v>22</v>
      </c>
      <c r="C60" t="s">
        <v>13</v>
      </c>
      <c r="D60" t="s">
        <v>14</v>
      </c>
      <c r="E60" t="s">
        <v>16</v>
      </c>
      <c r="F60">
        <v>92.1</v>
      </c>
    </row>
    <row r="61" spans="1:6" x14ac:dyDescent="0.35">
      <c r="A61">
        <v>2018</v>
      </c>
      <c r="B61" t="s">
        <v>22</v>
      </c>
      <c r="C61" t="s">
        <v>13</v>
      </c>
      <c r="D61" t="s">
        <v>14</v>
      </c>
      <c r="E61" t="s">
        <v>17</v>
      </c>
      <c r="F61">
        <v>33.5</v>
      </c>
    </row>
    <row r="62" spans="1:6" x14ac:dyDescent="0.35">
      <c r="A62">
        <v>2018</v>
      </c>
      <c r="B62" t="s">
        <v>23</v>
      </c>
      <c r="C62" t="s">
        <v>7</v>
      </c>
      <c r="D62" t="s">
        <v>8</v>
      </c>
      <c r="E62" t="s">
        <v>9</v>
      </c>
      <c r="F62">
        <v>48.7</v>
      </c>
    </row>
    <row r="63" spans="1:6" x14ac:dyDescent="0.35">
      <c r="A63">
        <v>2018</v>
      </c>
      <c r="B63" t="s">
        <v>23</v>
      </c>
      <c r="C63" t="s">
        <v>7</v>
      </c>
      <c r="D63" t="s">
        <v>8</v>
      </c>
      <c r="E63" t="s">
        <v>10</v>
      </c>
      <c r="F63">
        <v>30.2</v>
      </c>
    </row>
    <row r="64" spans="1:6" x14ac:dyDescent="0.35">
      <c r="A64">
        <v>2018</v>
      </c>
      <c r="B64" t="s">
        <v>23</v>
      </c>
      <c r="C64" t="s">
        <v>7</v>
      </c>
      <c r="D64" t="s">
        <v>8</v>
      </c>
      <c r="E64" t="s">
        <v>11</v>
      </c>
      <c r="F64">
        <v>18.600000000000001</v>
      </c>
    </row>
    <row r="65" spans="1:6" x14ac:dyDescent="0.35">
      <c r="A65">
        <v>2018</v>
      </c>
      <c r="B65" t="s">
        <v>23</v>
      </c>
      <c r="C65" t="s">
        <v>7</v>
      </c>
      <c r="D65" t="s">
        <v>8</v>
      </c>
      <c r="E65" t="s">
        <v>12</v>
      </c>
      <c r="F65">
        <v>9.9</v>
      </c>
    </row>
    <row r="66" spans="1:6" x14ac:dyDescent="0.35">
      <c r="A66">
        <v>2018</v>
      </c>
      <c r="B66" t="s">
        <v>23</v>
      </c>
      <c r="C66" t="s">
        <v>13</v>
      </c>
      <c r="D66" t="s">
        <v>8</v>
      </c>
      <c r="E66" t="s">
        <v>12</v>
      </c>
      <c r="F66">
        <v>34.4</v>
      </c>
    </row>
    <row r="67" spans="1:6" x14ac:dyDescent="0.35">
      <c r="A67">
        <v>2018</v>
      </c>
      <c r="B67" t="s">
        <v>23</v>
      </c>
      <c r="C67" t="s">
        <v>7</v>
      </c>
      <c r="D67" t="s">
        <v>14</v>
      </c>
      <c r="E67" t="s">
        <v>15</v>
      </c>
      <c r="F67">
        <v>62.5</v>
      </c>
    </row>
    <row r="68" spans="1:6" x14ac:dyDescent="0.35">
      <c r="A68">
        <v>2018</v>
      </c>
      <c r="B68" t="s">
        <v>23</v>
      </c>
      <c r="C68" t="s">
        <v>7</v>
      </c>
      <c r="D68" t="s">
        <v>14</v>
      </c>
      <c r="E68" t="s">
        <v>16</v>
      </c>
      <c r="F68">
        <v>38.700000000000003</v>
      </c>
    </row>
    <row r="69" spans="1:6" x14ac:dyDescent="0.35">
      <c r="A69">
        <v>2018</v>
      </c>
      <c r="B69" t="s">
        <v>23</v>
      </c>
      <c r="C69" t="s">
        <v>7</v>
      </c>
      <c r="D69" t="s">
        <v>14</v>
      </c>
      <c r="E69" t="s">
        <v>17</v>
      </c>
      <c r="F69">
        <v>22.1</v>
      </c>
    </row>
    <row r="70" spans="1:6" x14ac:dyDescent="0.35">
      <c r="A70">
        <v>2018</v>
      </c>
      <c r="B70" t="s">
        <v>23</v>
      </c>
      <c r="C70" t="s">
        <v>13</v>
      </c>
      <c r="D70" t="s">
        <v>14</v>
      </c>
      <c r="E70" t="s">
        <v>16</v>
      </c>
      <c r="F70">
        <v>52.3</v>
      </c>
    </row>
    <row r="71" spans="1:6" x14ac:dyDescent="0.35">
      <c r="A71">
        <v>2018</v>
      </c>
      <c r="B71" t="s">
        <v>23</v>
      </c>
      <c r="C71" t="s">
        <v>13</v>
      </c>
      <c r="D71" t="s">
        <v>14</v>
      </c>
      <c r="E71" t="s">
        <v>17</v>
      </c>
      <c r="F71">
        <v>16.5</v>
      </c>
    </row>
    <row r="72" spans="1:6" x14ac:dyDescent="0.35">
      <c r="A72">
        <v>2018</v>
      </c>
      <c r="B72" t="s">
        <v>24</v>
      </c>
      <c r="C72" t="s">
        <v>7</v>
      </c>
      <c r="D72" t="s">
        <v>8</v>
      </c>
      <c r="E72" t="s">
        <v>9</v>
      </c>
      <c r="F72">
        <v>28.3</v>
      </c>
    </row>
    <row r="73" spans="1:6" x14ac:dyDescent="0.35">
      <c r="A73">
        <v>2018</v>
      </c>
      <c r="B73" t="s">
        <v>24</v>
      </c>
      <c r="C73" t="s">
        <v>7</v>
      </c>
      <c r="D73" t="s">
        <v>8</v>
      </c>
      <c r="E73" t="s">
        <v>10</v>
      </c>
      <c r="F73">
        <v>32.6</v>
      </c>
    </row>
    <row r="74" spans="1:6" x14ac:dyDescent="0.35">
      <c r="A74">
        <v>2018</v>
      </c>
      <c r="B74" t="s">
        <v>24</v>
      </c>
      <c r="C74" t="s">
        <v>7</v>
      </c>
      <c r="D74" t="s">
        <v>8</v>
      </c>
      <c r="E74" t="s">
        <v>11</v>
      </c>
      <c r="F74">
        <v>35.4</v>
      </c>
    </row>
    <row r="75" spans="1:6" x14ac:dyDescent="0.35">
      <c r="A75">
        <v>2018</v>
      </c>
      <c r="B75" t="s">
        <v>24</v>
      </c>
      <c r="C75" t="s">
        <v>7</v>
      </c>
      <c r="D75" t="s">
        <v>8</v>
      </c>
      <c r="E75" t="s">
        <v>12</v>
      </c>
      <c r="F75">
        <v>39.200000000000003</v>
      </c>
    </row>
    <row r="76" spans="1:6" x14ac:dyDescent="0.35">
      <c r="A76">
        <v>2018</v>
      </c>
      <c r="B76" t="s">
        <v>24</v>
      </c>
      <c r="C76" t="s">
        <v>13</v>
      </c>
      <c r="D76" t="s">
        <v>8</v>
      </c>
      <c r="E76" t="s">
        <v>12</v>
      </c>
      <c r="F76">
        <v>66</v>
      </c>
    </row>
    <row r="77" spans="1:6" x14ac:dyDescent="0.35">
      <c r="A77">
        <v>2018</v>
      </c>
      <c r="B77" t="s">
        <v>24</v>
      </c>
      <c r="C77" t="s">
        <v>7</v>
      </c>
      <c r="D77" t="s">
        <v>14</v>
      </c>
      <c r="E77" t="s">
        <v>15</v>
      </c>
      <c r="F77">
        <v>74.099999999999994</v>
      </c>
    </row>
    <row r="78" spans="1:6" x14ac:dyDescent="0.35">
      <c r="A78">
        <v>2018</v>
      </c>
      <c r="B78" t="s">
        <v>24</v>
      </c>
      <c r="C78" t="s">
        <v>7</v>
      </c>
      <c r="D78" t="s">
        <v>14</v>
      </c>
      <c r="E78" t="s">
        <v>16</v>
      </c>
      <c r="F78">
        <v>55.8</v>
      </c>
    </row>
    <row r="79" spans="1:6" x14ac:dyDescent="0.35">
      <c r="A79">
        <v>2018</v>
      </c>
      <c r="B79" t="s">
        <v>24</v>
      </c>
      <c r="C79" t="s">
        <v>7</v>
      </c>
      <c r="D79" t="s">
        <v>14</v>
      </c>
      <c r="E79" t="s">
        <v>17</v>
      </c>
      <c r="F79">
        <v>33.200000000000003</v>
      </c>
    </row>
    <row r="80" spans="1:6" x14ac:dyDescent="0.35">
      <c r="A80">
        <v>2018</v>
      </c>
      <c r="B80" t="s">
        <v>24</v>
      </c>
      <c r="C80" t="s">
        <v>13</v>
      </c>
      <c r="D80" t="s">
        <v>14</v>
      </c>
      <c r="E80" t="s">
        <v>16</v>
      </c>
      <c r="F80">
        <v>69.7</v>
      </c>
    </row>
    <row r="81" spans="1:6" x14ac:dyDescent="0.35">
      <c r="A81">
        <v>2018</v>
      </c>
      <c r="B81" t="s">
        <v>24</v>
      </c>
      <c r="C81" t="s">
        <v>13</v>
      </c>
      <c r="D81" t="s">
        <v>14</v>
      </c>
      <c r="E81" t="s">
        <v>17</v>
      </c>
      <c r="F81">
        <v>31.7</v>
      </c>
    </row>
    <row r="82" spans="1:6" x14ac:dyDescent="0.35">
      <c r="A82">
        <v>2018</v>
      </c>
      <c r="B82" t="s">
        <v>25</v>
      </c>
      <c r="C82" t="s">
        <v>7</v>
      </c>
      <c r="D82" t="s">
        <v>8</v>
      </c>
      <c r="E82" t="s">
        <v>9</v>
      </c>
      <c r="F82">
        <v>12.4</v>
      </c>
    </row>
    <row r="83" spans="1:6" x14ac:dyDescent="0.35">
      <c r="A83">
        <v>2018</v>
      </c>
      <c r="B83" t="s">
        <v>25</v>
      </c>
      <c r="C83" t="s">
        <v>7</v>
      </c>
      <c r="D83" t="s">
        <v>8</v>
      </c>
      <c r="E83" t="s">
        <v>10</v>
      </c>
      <c r="F83">
        <v>18.899999999999999</v>
      </c>
    </row>
    <row r="84" spans="1:6" x14ac:dyDescent="0.35">
      <c r="A84">
        <v>2018</v>
      </c>
      <c r="B84" t="s">
        <v>25</v>
      </c>
      <c r="C84" t="s">
        <v>7</v>
      </c>
      <c r="D84" t="s">
        <v>8</v>
      </c>
      <c r="E84" t="s">
        <v>11</v>
      </c>
      <c r="F84">
        <v>36.700000000000003</v>
      </c>
    </row>
    <row r="85" spans="1:6" x14ac:dyDescent="0.35">
      <c r="A85">
        <v>2018</v>
      </c>
      <c r="B85" t="s">
        <v>25</v>
      </c>
      <c r="C85" t="s">
        <v>7</v>
      </c>
      <c r="D85" t="s">
        <v>8</v>
      </c>
      <c r="E85" t="s">
        <v>12</v>
      </c>
      <c r="F85">
        <v>44.8</v>
      </c>
    </row>
    <row r="86" spans="1:6" x14ac:dyDescent="0.35">
      <c r="A86">
        <v>2018</v>
      </c>
      <c r="B86" t="s">
        <v>25</v>
      </c>
      <c r="C86" t="s">
        <v>13</v>
      </c>
      <c r="D86" t="s">
        <v>8</v>
      </c>
      <c r="E86" t="s">
        <v>12</v>
      </c>
      <c r="F86">
        <v>68.7</v>
      </c>
    </row>
    <row r="87" spans="1:6" x14ac:dyDescent="0.35">
      <c r="A87">
        <v>2018</v>
      </c>
      <c r="B87" t="s">
        <v>25</v>
      </c>
      <c r="C87" t="s">
        <v>7</v>
      </c>
      <c r="D87" t="s">
        <v>14</v>
      </c>
      <c r="E87" t="s">
        <v>15</v>
      </c>
      <c r="F87">
        <v>82.3</v>
      </c>
    </row>
    <row r="88" spans="1:6" x14ac:dyDescent="0.35">
      <c r="A88">
        <v>2018</v>
      </c>
      <c r="B88" t="s">
        <v>25</v>
      </c>
      <c r="C88" t="s">
        <v>7</v>
      </c>
      <c r="D88" t="s">
        <v>14</v>
      </c>
      <c r="E88" t="s">
        <v>16</v>
      </c>
      <c r="F88">
        <v>61.4</v>
      </c>
    </row>
    <row r="89" spans="1:6" x14ac:dyDescent="0.35">
      <c r="A89">
        <v>2018</v>
      </c>
      <c r="B89" t="s">
        <v>25</v>
      </c>
      <c r="C89" t="s">
        <v>7</v>
      </c>
      <c r="D89" t="s">
        <v>14</v>
      </c>
      <c r="E89" t="s">
        <v>17</v>
      </c>
      <c r="F89">
        <v>38.6</v>
      </c>
    </row>
    <row r="90" spans="1:6" x14ac:dyDescent="0.35">
      <c r="A90">
        <v>2018</v>
      </c>
      <c r="B90" t="s">
        <v>25</v>
      </c>
      <c r="C90" t="s">
        <v>13</v>
      </c>
      <c r="D90" t="s">
        <v>14</v>
      </c>
      <c r="E90" t="s">
        <v>16</v>
      </c>
      <c r="F90">
        <v>79.5</v>
      </c>
    </row>
    <row r="91" spans="1:6" x14ac:dyDescent="0.35">
      <c r="A91">
        <v>2018</v>
      </c>
      <c r="B91" t="s">
        <v>25</v>
      </c>
      <c r="C91" t="s">
        <v>13</v>
      </c>
      <c r="D91" t="s">
        <v>14</v>
      </c>
      <c r="E91" t="s">
        <v>17</v>
      </c>
      <c r="F91">
        <v>50.1</v>
      </c>
    </row>
    <row r="92" spans="1:6" x14ac:dyDescent="0.35">
      <c r="A92">
        <v>2018</v>
      </c>
      <c r="B92" t="s">
        <v>26</v>
      </c>
      <c r="C92" t="s">
        <v>7</v>
      </c>
      <c r="D92" t="s">
        <v>8</v>
      </c>
      <c r="E92" t="s">
        <v>9</v>
      </c>
      <c r="F92">
        <v>42.5</v>
      </c>
    </row>
    <row r="93" spans="1:6" x14ac:dyDescent="0.35">
      <c r="A93">
        <v>2018</v>
      </c>
      <c r="B93" t="s">
        <v>26</v>
      </c>
      <c r="C93" t="s">
        <v>7</v>
      </c>
      <c r="D93" t="s">
        <v>8</v>
      </c>
      <c r="E93" t="s">
        <v>10</v>
      </c>
      <c r="F93">
        <v>29.3</v>
      </c>
    </row>
    <row r="94" spans="1:6" x14ac:dyDescent="0.35">
      <c r="A94">
        <v>2018</v>
      </c>
      <c r="B94" t="s">
        <v>26</v>
      </c>
      <c r="C94" t="s">
        <v>7</v>
      </c>
      <c r="D94" t="s">
        <v>8</v>
      </c>
      <c r="E94" t="s">
        <v>11</v>
      </c>
      <c r="F94">
        <v>18.399999999999999</v>
      </c>
    </row>
    <row r="95" spans="1:6" x14ac:dyDescent="0.35">
      <c r="A95">
        <v>2018</v>
      </c>
      <c r="B95" t="s">
        <v>26</v>
      </c>
      <c r="C95" t="s">
        <v>7</v>
      </c>
      <c r="D95" t="s">
        <v>8</v>
      </c>
      <c r="E95" t="s">
        <v>12</v>
      </c>
      <c r="F95">
        <v>10.199999999999999</v>
      </c>
    </row>
    <row r="96" spans="1:6" x14ac:dyDescent="0.35">
      <c r="A96">
        <v>2018</v>
      </c>
      <c r="B96" t="s">
        <v>26</v>
      </c>
      <c r="C96" t="s">
        <v>13</v>
      </c>
      <c r="D96" t="s">
        <v>8</v>
      </c>
      <c r="E96" t="s">
        <v>12</v>
      </c>
      <c r="F96">
        <v>39.1</v>
      </c>
    </row>
    <row r="97" spans="1:6" x14ac:dyDescent="0.35">
      <c r="A97">
        <v>2018</v>
      </c>
      <c r="B97" t="s">
        <v>26</v>
      </c>
      <c r="C97" t="s">
        <v>7</v>
      </c>
      <c r="D97" t="s">
        <v>14</v>
      </c>
      <c r="E97" t="s">
        <v>15</v>
      </c>
      <c r="F97">
        <v>60.7</v>
      </c>
    </row>
    <row r="98" spans="1:6" x14ac:dyDescent="0.35">
      <c r="A98">
        <v>2018</v>
      </c>
      <c r="B98" t="s">
        <v>26</v>
      </c>
      <c r="C98" t="s">
        <v>7</v>
      </c>
      <c r="D98" t="s">
        <v>14</v>
      </c>
      <c r="E98" t="s">
        <v>16</v>
      </c>
      <c r="F98">
        <v>36.200000000000003</v>
      </c>
    </row>
    <row r="99" spans="1:6" x14ac:dyDescent="0.35">
      <c r="A99">
        <v>2018</v>
      </c>
      <c r="B99" t="s">
        <v>26</v>
      </c>
      <c r="C99" t="s">
        <v>7</v>
      </c>
      <c r="D99" t="s">
        <v>14</v>
      </c>
      <c r="E99" t="s">
        <v>17</v>
      </c>
      <c r="F99">
        <v>17.899999999999999</v>
      </c>
    </row>
    <row r="100" spans="1:6" x14ac:dyDescent="0.35">
      <c r="A100">
        <v>2018</v>
      </c>
      <c r="B100" t="s">
        <v>26</v>
      </c>
      <c r="C100" t="s">
        <v>13</v>
      </c>
      <c r="D100" t="s">
        <v>14</v>
      </c>
      <c r="E100" t="s">
        <v>16</v>
      </c>
      <c r="F100">
        <v>54.6</v>
      </c>
    </row>
    <row r="101" spans="1:6" x14ac:dyDescent="0.35">
      <c r="A101">
        <v>2018</v>
      </c>
      <c r="B101" t="s">
        <v>26</v>
      </c>
      <c r="C101" t="s">
        <v>13</v>
      </c>
      <c r="D101" t="s">
        <v>14</v>
      </c>
      <c r="E101" t="s">
        <v>17</v>
      </c>
      <c r="F101">
        <v>14.1</v>
      </c>
    </row>
    <row r="102" spans="1:6" x14ac:dyDescent="0.35">
      <c r="A102">
        <v>2018</v>
      </c>
      <c r="B102" t="s">
        <v>27</v>
      </c>
      <c r="C102" t="s">
        <v>7</v>
      </c>
      <c r="D102" t="s">
        <v>8</v>
      </c>
      <c r="E102" t="s">
        <v>9</v>
      </c>
      <c r="F102">
        <v>18.600000000000001</v>
      </c>
    </row>
    <row r="103" spans="1:6" x14ac:dyDescent="0.35">
      <c r="A103">
        <v>2018</v>
      </c>
      <c r="B103" t="s">
        <v>27</v>
      </c>
      <c r="C103" t="s">
        <v>7</v>
      </c>
      <c r="D103" t="s">
        <v>8</v>
      </c>
      <c r="E103" t="s">
        <v>10</v>
      </c>
      <c r="F103">
        <v>28.4</v>
      </c>
    </row>
    <row r="104" spans="1:6" x14ac:dyDescent="0.35">
      <c r="A104">
        <v>2018</v>
      </c>
      <c r="B104" t="s">
        <v>27</v>
      </c>
      <c r="C104" t="s">
        <v>7</v>
      </c>
      <c r="D104" t="s">
        <v>8</v>
      </c>
      <c r="E104" t="s">
        <v>11</v>
      </c>
      <c r="F104">
        <v>40.700000000000003</v>
      </c>
    </row>
    <row r="105" spans="1:6" x14ac:dyDescent="0.35">
      <c r="A105">
        <v>2018</v>
      </c>
      <c r="B105" t="s">
        <v>27</v>
      </c>
      <c r="C105" t="s">
        <v>7</v>
      </c>
      <c r="D105" t="s">
        <v>8</v>
      </c>
      <c r="E105" t="s">
        <v>12</v>
      </c>
      <c r="F105">
        <v>43.9</v>
      </c>
    </row>
    <row r="106" spans="1:6" x14ac:dyDescent="0.35">
      <c r="A106">
        <v>2018</v>
      </c>
      <c r="B106" t="s">
        <v>27</v>
      </c>
      <c r="C106" t="s">
        <v>13</v>
      </c>
      <c r="D106" t="s">
        <v>8</v>
      </c>
      <c r="E106" t="s">
        <v>12</v>
      </c>
      <c r="F106">
        <v>46.3</v>
      </c>
    </row>
    <row r="107" spans="1:6" x14ac:dyDescent="0.35">
      <c r="A107">
        <v>2018</v>
      </c>
      <c r="B107" t="s">
        <v>27</v>
      </c>
      <c r="C107" t="s">
        <v>7</v>
      </c>
      <c r="D107" t="s">
        <v>14</v>
      </c>
      <c r="E107" t="s">
        <v>15</v>
      </c>
      <c r="F107">
        <v>76.5</v>
      </c>
    </row>
    <row r="108" spans="1:6" x14ac:dyDescent="0.35">
      <c r="A108">
        <v>2018</v>
      </c>
      <c r="B108" t="s">
        <v>27</v>
      </c>
      <c r="C108" t="s">
        <v>7</v>
      </c>
      <c r="D108" t="s">
        <v>14</v>
      </c>
      <c r="E108" t="s">
        <v>16</v>
      </c>
      <c r="F108">
        <v>59.8</v>
      </c>
    </row>
    <row r="109" spans="1:6" x14ac:dyDescent="0.35">
      <c r="A109">
        <v>2018</v>
      </c>
      <c r="B109" t="s">
        <v>27</v>
      </c>
      <c r="C109" t="s">
        <v>7</v>
      </c>
      <c r="D109" t="s">
        <v>14</v>
      </c>
      <c r="E109" t="s">
        <v>17</v>
      </c>
      <c r="F109">
        <v>35.6</v>
      </c>
    </row>
    <row r="110" spans="1:6" x14ac:dyDescent="0.35">
      <c r="A110">
        <v>2018</v>
      </c>
      <c r="B110" t="s">
        <v>27</v>
      </c>
      <c r="C110" t="s">
        <v>13</v>
      </c>
      <c r="D110" t="s">
        <v>14</v>
      </c>
      <c r="E110" t="s">
        <v>16</v>
      </c>
      <c r="F110">
        <v>74.2</v>
      </c>
    </row>
    <row r="111" spans="1:6" x14ac:dyDescent="0.35">
      <c r="A111">
        <v>2018</v>
      </c>
      <c r="B111" t="s">
        <v>27</v>
      </c>
      <c r="C111" t="s">
        <v>13</v>
      </c>
      <c r="D111" t="s">
        <v>14</v>
      </c>
      <c r="E111" t="s">
        <v>17</v>
      </c>
      <c r="F111">
        <v>27.1</v>
      </c>
    </row>
    <row r="112" spans="1:6" x14ac:dyDescent="0.35">
      <c r="A112">
        <v>2018</v>
      </c>
      <c r="B112" t="s">
        <v>28</v>
      </c>
      <c r="C112" t="s">
        <v>7</v>
      </c>
      <c r="D112" t="s">
        <v>8</v>
      </c>
      <c r="E112" t="s">
        <v>9</v>
      </c>
      <c r="F112">
        <v>49.6</v>
      </c>
    </row>
    <row r="113" spans="1:6" x14ac:dyDescent="0.35">
      <c r="A113">
        <v>2018</v>
      </c>
      <c r="B113" t="s">
        <v>28</v>
      </c>
      <c r="C113" t="s">
        <v>7</v>
      </c>
      <c r="D113" t="s">
        <v>8</v>
      </c>
      <c r="E113" t="s">
        <v>10</v>
      </c>
      <c r="F113">
        <v>26.7</v>
      </c>
    </row>
    <row r="114" spans="1:6" x14ac:dyDescent="0.35">
      <c r="A114">
        <v>2018</v>
      </c>
      <c r="B114" t="s">
        <v>28</v>
      </c>
      <c r="C114" t="s">
        <v>7</v>
      </c>
      <c r="D114" t="s">
        <v>8</v>
      </c>
      <c r="E114" t="s">
        <v>11</v>
      </c>
      <c r="F114">
        <v>15.3</v>
      </c>
    </row>
    <row r="115" spans="1:6" x14ac:dyDescent="0.35">
      <c r="A115">
        <v>2018</v>
      </c>
      <c r="B115" t="s">
        <v>28</v>
      </c>
      <c r="C115" t="s">
        <v>7</v>
      </c>
      <c r="D115" t="s">
        <v>8</v>
      </c>
      <c r="E115" t="s">
        <v>12</v>
      </c>
      <c r="F115">
        <v>8.4</v>
      </c>
    </row>
    <row r="116" spans="1:6" x14ac:dyDescent="0.35">
      <c r="A116">
        <v>2018</v>
      </c>
      <c r="B116" t="s">
        <v>28</v>
      </c>
      <c r="C116" t="s">
        <v>13</v>
      </c>
      <c r="D116" t="s">
        <v>8</v>
      </c>
      <c r="E116" t="s">
        <v>12</v>
      </c>
      <c r="F116">
        <v>36.200000000000003</v>
      </c>
    </row>
    <row r="117" spans="1:6" x14ac:dyDescent="0.35">
      <c r="A117">
        <v>2018</v>
      </c>
      <c r="B117" t="s">
        <v>28</v>
      </c>
      <c r="C117" t="s">
        <v>7</v>
      </c>
      <c r="D117" t="s">
        <v>14</v>
      </c>
      <c r="E117" t="s">
        <v>15</v>
      </c>
      <c r="F117">
        <v>59.3</v>
      </c>
    </row>
    <row r="118" spans="1:6" x14ac:dyDescent="0.35">
      <c r="A118">
        <v>2018</v>
      </c>
      <c r="B118" t="s">
        <v>28</v>
      </c>
      <c r="C118" t="s">
        <v>7</v>
      </c>
      <c r="D118" t="s">
        <v>14</v>
      </c>
      <c r="E118" t="s">
        <v>16</v>
      </c>
      <c r="F118">
        <v>32.5</v>
      </c>
    </row>
    <row r="119" spans="1:6" x14ac:dyDescent="0.35">
      <c r="A119">
        <v>2018</v>
      </c>
      <c r="B119" t="s">
        <v>28</v>
      </c>
      <c r="C119" t="s">
        <v>7</v>
      </c>
      <c r="D119" t="s">
        <v>14</v>
      </c>
      <c r="E119" t="s">
        <v>17</v>
      </c>
      <c r="F119">
        <v>16.8</v>
      </c>
    </row>
    <row r="120" spans="1:6" x14ac:dyDescent="0.35">
      <c r="A120">
        <v>2018</v>
      </c>
      <c r="B120" t="s">
        <v>28</v>
      </c>
      <c r="C120" t="s">
        <v>13</v>
      </c>
      <c r="D120" t="s">
        <v>14</v>
      </c>
      <c r="E120" t="s">
        <v>16</v>
      </c>
      <c r="F120">
        <v>49.7</v>
      </c>
    </row>
    <row r="121" spans="1:6" x14ac:dyDescent="0.35">
      <c r="A121">
        <v>2018</v>
      </c>
      <c r="B121" t="s">
        <v>28</v>
      </c>
      <c r="C121" t="s">
        <v>13</v>
      </c>
      <c r="D121" t="s">
        <v>14</v>
      </c>
      <c r="E121" t="s">
        <v>17</v>
      </c>
      <c r="F121">
        <v>17</v>
      </c>
    </row>
    <row r="122" spans="1:6" x14ac:dyDescent="0.35">
      <c r="A122">
        <v>2018</v>
      </c>
      <c r="B122" t="s">
        <v>29</v>
      </c>
      <c r="C122" t="s">
        <v>7</v>
      </c>
      <c r="D122" t="s">
        <v>8</v>
      </c>
      <c r="E122" t="s">
        <v>9</v>
      </c>
      <c r="F122">
        <v>34.200000000000003</v>
      </c>
    </row>
    <row r="123" spans="1:6" x14ac:dyDescent="0.35">
      <c r="A123">
        <v>2018</v>
      </c>
      <c r="B123" t="s">
        <v>29</v>
      </c>
      <c r="C123" t="s">
        <v>7</v>
      </c>
      <c r="D123" t="s">
        <v>8</v>
      </c>
      <c r="E123" t="s">
        <v>10</v>
      </c>
      <c r="F123">
        <v>31.8</v>
      </c>
    </row>
    <row r="124" spans="1:6" x14ac:dyDescent="0.35">
      <c r="A124">
        <v>2018</v>
      </c>
      <c r="B124" t="s">
        <v>29</v>
      </c>
      <c r="C124" t="s">
        <v>7</v>
      </c>
      <c r="D124" t="s">
        <v>8</v>
      </c>
      <c r="E124" t="s">
        <v>11</v>
      </c>
      <c r="F124">
        <v>28.5</v>
      </c>
    </row>
    <row r="125" spans="1:6" x14ac:dyDescent="0.35">
      <c r="A125">
        <v>2018</v>
      </c>
      <c r="B125" t="s">
        <v>29</v>
      </c>
      <c r="C125" t="s">
        <v>7</v>
      </c>
      <c r="D125" t="s">
        <v>8</v>
      </c>
      <c r="E125" t="s">
        <v>12</v>
      </c>
      <c r="F125">
        <v>18.600000000000001</v>
      </c>
    </row>
    <row r="126" spans="1:6" x14ac:dyDescent="0.35">
      <c r="A126">
        <v>2018</v>
      </c>
      <c r="B126" t="s">
        <v>29</v>
      </c>
      <c r="C126" t="s">
        <v>13</v>
      </c>
      <c r="D126" t="s">
        <v>8</v>
      </c>
      <c r="E126" t="s">
        <v>12</v>
      </c>
      <c r="F126">
        <v>50.5</v>
      </c>
    </row>
    <row r="127" spans="1:6" x14ac:dyDescent="0.35">
      <c r="A127">
        <v>2018</v>
      </c>
      <c r="B127" t="s">
        <v>29</v>
      </c>
      <c r="C127" t="s">
        <v>7</v>
      </c>
      <c r="D127" t="s">
        <v>14</v>
      </c>
      <c r="E127" t="s">
        <v>15</v>
      </c>
      <c r="F127">
        <v>68.400000000000006</v>
      </c>
    </row>
    <row r="128" spans="1:6" x14ac:dyDescent="0.35">
      <c r="A128">
        <v>2018</v>
      </c>
      <c r="B128" t="s">
        <v>29</v>
      </c>
      <c r="C128" t="s">
        <v>7</v>
      </c>
      <c r="D128" t="s">
        <v>14</v>
      </c>
      <c r="E128" t="s">
        <v>16</v>
      </c>
      <c r="F128">
        <v>45.9</v>
      </c>
    </row>
    <row r="129" spans="1:6" x14ac:dyDescent="0.35">
      <c r="A129">
        <v>2018</v>
      </c>
      <c r="B129" t="s">
        <v>29</v>
      </c>
      <c r="C129" t="s">
        <v>7</v>
      </c>
      <c r="D129" t="s">
        <v>14</v>
      </c>
      <c r="E129" t="s">
        <v>17</v>
      </c>
      <c r="F129">
        <v>29.7</v>
      </c>
    </row>
    <row r="130" spans="1:6" x14ac:dyDescent="0.35">
      <c r="A130">
        <v>2018</v>
      </c>
      <c r="B130" t="s">
        <v>29</v>
      </c>
      <c r="C130" t="s">
        <v>13</v>
      </c>
      <c r="D130" t="s">
        <v>14</v>
      </c>
      <c r="E130" t="s">
        <v>16</v>
      </c>
      <c r="F130">
        <v>63.2</v>
      </c>
    </row>
    <row r="131" spans="1:6" x14ac:dyDescent="0.35">
      <c r="A131">
        <v>2018</v>
      </c>
      <c r="B131" t="s">
        <v>29</v>
      </c>
      <c r="C131" t="s">
        <v>13</v>
      </c>
      <c r="D131" t="s">
        <v>14</v>
      </c>
      <c r="E131" t="s">
        <v>17</v>
      </c>
      <c r="F131">
        <v>29.2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F421-7667-4BCC-9350-2941E8FB1D49}">
  <dimension ref="A1:E27"/>
  <sheetViews>
    <sheetView workbookViewId="0">
      <pane ySplit="1" topLeftCell="A2" activePane="bottomLeft" state="frozen"/>
      <selection pane="bottomLeft" activeCell="L2" sqref="K2:L2"/>
    </sheetView>
  </sheetViews>
  <sheetFormatPr defaultRowHeight="14.5" x14ac:dyDescent="0.35"/>
  <cols>
    <col min="1" max="1" width="12" customWidth="1"/>
    <col min="2" max="2" width="21.453125" customWidth="1"/>
    <col min="3" max="3" width="16.1796875" customWidth="1"/>
    <col min="4" max="4" width="24.6328125" customWidth="1"/>
    <col min="5" max="5" width="20.7265625" customWidth="1"/>
  </cols>
  <sheetData>
    <row r="1" spans="1:5" x14ac:dyDescent="0.35">
      <c r="A1" t="s">
        <v>0</v>
      </c>
      <c r="B1" t="s">
        <v>1</v>
      </c>
      <c r="C1" t="s">
        <v>2</v>
      </c>
      <c r="D1" t="s">
        <v>30</v>
      </c>
      <c r="E1" t="s">
        <v>5</v>
      </c>
    </row>
    <row r="2" spans="1:5" x14ac:dyDescent="0.35">
      <c r="A2">
        <v>2022</v>
      </c>
      <c r="B2" t="s">
        <v>6</v>
      </c>
      <c r="C2" t="s">
        <v>13</v>
      </c>
      <c r="D2" t="s">
        <v>31</v>
      </c>
      <c r="E2">
        <v>38</v>
      </c>
    </row>
    <row r="3" spans="1:5" x14ac:dyDescent="0.35">
      <c r="A3">
        <v>2022</v>
      </c>
      <c r="B3" t="s">
        <v>6</v>
      </c>
      <c r="C3" t="s">
        <v>13</v>
      </c>
      <c r="D3" t="s">
        <v>32</v>
      </c>
      <c r="E3">
        <v>28</v>
      </c>
    </row>
    <row r="4" spans="1:5" x14ac:dyDescent="0.35">
      <c r="A4">
        <v>2022</v>
      </c>
      <c r="B4" t="s">
        <v>19</v>
      </c>
      <c r="C4" t="s">
        <v>13</v>
      </c>
      <c r="D4" t="s">
        <v>31</v>
      </c>
      <c r="E4">
        <v>55</v>
      </c>
    </row>
    <row r="5" spans="1:5" x14ac:dyDescent="0.35">
      <c r="A5">
        <v>2022</v>
      </c>
      <c r="B5" t="s">
        <v>19</v>
      </c>
      <c r="C5" t="s">
        <v>13</v>
      </c>
      <c r="D5" t="s">
        <v>32</v>
      </c>
      <c r="E5">
        <v>38</v>
      </c>
    </row>
    <row r="6" spans="1:5" x14ac:dyDescent="0.35">
      <c r="A6">
        <v>2022</v>
      </c>
      <c r="B6" t="s">
        <v>22</v>
      </c>
      <c r="C6" t="s">
        <v>13</v>
      </c>
      <c r="D6" t="s">
        <v>31</v>
      </c>
      <c r="E6">
        <v>74</v>
      </c>
    </row>
    <row r="7" spans="1:5" x14ac:dyDescent="0.35">
      <c r="A7">
        <v>2022</v>
      </c>
      <c r="B7" t="s">
        <v>22</v>
      </c>
      <c r="C7" t="s">
        <v>13</v>
      </c>
      <c r="D7" t="s">
        <v>32</v>
      </c>
      <c r="E7">
        <v>68</v>
      </c>
    </row>
    <row r="8" spans="1:5" x14ac:dyDescent="0.35">
      <c r="A8">
        <v>2022</v>
      </c>
      <c r="B8" t="s">
        <v>20</v>
      </c>
      <c r="C8" t="s">
        <v>13</v>
      </c>
      <c r="D8" t="s">
        <v>31</v>
      </c>
      <c r="E8">
        <v>70</v>
      </c>
    </row>
    <row r="9" spans="1:5" x14ac:dyDescent="0.35">
      <c r="A9">
        <v>2022</v>
      </c>
      <c r="B9" t="s">
        <v>20</v>
      </c>
      <c r="C9" t="s">
        <v>13</v>
      </c>
      <c r="D9" t="s">
        <v>32</v>
      </c>
      <c r="E9">
        <v>55</v>
      </c>
    </row>
    <row r="10" spans="1:5" x14ac:dyDescent="0.35">
      <c r="A10">
        <v>2022</v>
      </c>
      <c r="B10" t="s">
        <v>24</v>
      </c>
      <c r="C10" t="s">
        <v>13</v>
      </c>
      <c r="D10" t="s">
        <v>31</v>
      </c>
      <c r="E10">
        <v>60</v>
      </c>
    </row>
    <row r="11" spans="1:5" x14ac:dyDescent="0.35">
      <c r="A11">
        <v>2022</v>
      </c>
      <c r="B11" t="s">
        <v>24</v>
      </c>
      <c r="C11" t="s">
        <v>13</v>
      </c>
      <c r="D11" t="s">
        <v>32</v>
      </c>
      <c r="E11">
        <v>40</v>
      </c>
    </row>
    <row r="12" spans="1:5" x14ac:dyDescent="0.35">
      <c r="A12">
        <v>2022</v>
      </c>
      <c r="B12" t="s">
        <v>28</v>
      </c>
      <c r="C12" t="s">
        <v>13</v>
      </c>
      <c r="D12" t="s">
        <v>31</v>
      </c>
      <c r="E12">
        <v>40</v>
      </c>
    </row>
    <row r="13" spans="1:5" x14ac:dyDescent="0.35">
      <c r="A13">
        <v>2022</v>
      </c>
      <c r="B13" t="s">
        <v>28</v>
      </c>
      <c r="C13" t="s">
        <v>13</v>
      </c>
      <c r="D13" t="s">
        <v>32</v>
      </c>
      <c r="E13">
        <v>25</v>
      </c>
    </row>
    <row r="14" spans="1:5" x14ac:dyDescent="0.35">
      <c r="A14">
        <v>2022</v>
      </c>
      <c r="B14" t="s">
        <v>25</v>
      </c>
      <c r="C14" t="s">
        <v>13</v>
      </c>
      <c r="D14" t="s">
        <v>31</v>
      </c>
      <c r="E14">
        <v>72</v>
      </c>
    </row>
    <row r="15" spans="1:5" x14ac:dyDescent="0.35">
      <c r="A15">
        <v>2022</v>
      </c>
      <c r="B15" t="s">
        <v>25</v>
      </c>
      <c r="C15" t="s">
        <v>13</v>
      </c>
      <c r="D15" t="s">
        <v>32</v>
      </c>
      <c r="E15">
        <v>50</v>
      </c>
    </row>
    <row r="16" spans="1:5" x14ac:dyDescent="0.35">
      <c r="A16">
        <v>2022</v>
      </c>
      <c r="B16" t="s">
        <v>26</v>
      </c>
      <c r="C16" t="s">
        <v>13</v>
      </c>
      <c r="D16" t="s">
        <v>31</v>
      </c>
      <c r="E16">
        <v>45</v>
      </c>
    </row>
    <row r="17" spans="1:5" x14ac:dyDescent="0.35">
      <c r="A17">
        <v>2022</v>
      </c>
      <c r="B17" t="s">
        <v>26</v>
      </c>
      <c r="C17" t="s">
        <v>13</v>
      </c>
      <c r="D17" t="s">
        <v>32</v>
      </c>
      <c r="E17">
        <v>30</v>
      </c>
    </row>
    <row r="18" spans="1:5" x14ac:dyDescent="0.35">
      <c r="A18">
        <v>2022</v>
      </c>
      <c r="B18" t="s">
        <v>27</v>
      </c>
      <c r="C18" t="s">
        <v>13</v>
      </c>
      <c r="D18" t="s">
        <v>31</v>
      </c>
      <c r="E18">
        <v>65</v>
      </c>
    </row>
    <row r="19" spans="1:5" x14ac:dyDescent="0.35">
      <c r="A19">
        <v>2022</v>
      </c>
      <c r="B19" t="s">
        <v>27</v>
      </c>
      <c r="C19" t="s">
        <v>13</v>
      </c>
      <c r="D19" t="s">
        <v>32</v>
      </c>
      <c r="E19">
        <v>45</v>
      </c>
    </row>
    <row r="20" spans="1:5" x14ac:dyDescent="0.35">
      <c r="A20">
        <v>2022</v>
      </c>
      <c r="B20" t="s">
        <v>29</v>
      </c>
      <c r="C20" t="s">
        <v>13</v>
      </c>
      <c r="D20" t="s">
        <v>31</v>
      </c>
      <c r="E20">
        <v>55</v>
      </c>
    </row>
    <row r="21" spans="1:5" x14ac:dyDescent="0.35">
      <c r="A21">
        <v>2022</v>
      </c>
      <c r="B21" t="s">
        <v>29</v>
      </c>
      <c r="C21" t="s">
        <v>13</v>
      </c>
      <c r="D21" t="s">
        <v>32</v>
      </c>
      <c r="E21">
        <v>35</v>
      </c>
    </row>
    <row r="22" spans="1:5" x14ac:dyDescent="0.35">
      <c r="A22">
        <v>2022</v>
      </c>
      <c r="B22" t="s">
        <v>23</v>
      </c>
      <c r="C22" t="s">
        <v>13</v>
      </c>
      <c r="D22" t="s">
        <v>31</v>
      </c>
      <c r="E22">
        <v>40</v>
      </c>
    </row>
    <row r="23" spans="1:5" x14ac:dyDescent="0.35">
      <c r="A23">
        <v>2022</v>
      </c>
      <c r="B23" t="s">
        <v>23</v>
      </c>
      <c r="C23" t="s">
        <v>13</v>
      </c>
      <c r="D23" t="s">
        <v>32</v>
      </c>
      <c r="E23">
        <v>28</v>
      </c>
    </row>
    <row r="24" spans="1:5" x14ac:dyDescent="0.35">
      <c r="A24">
        <v>2022</v>
      </c>
      <c r="B24" t="s">
        <v>21</v>
      </c>
      <c r="C24" t="s">
        <v>13</v>
      </c>
      <c r="D24" t="s">
        <v>31</v>
      </c>
      <c r="E24">
        <v>38</v>
      </c>
    </row>
    <row r="25" spans="1:5" x14ac:dyDescent="0.35">
      <c r="A25">
        <v>2022</v>
      </c>
      <c r="B25" t="s">
        <v>21</v>
      </c>
      <c r="C25" t="s">
        <v>13</v>
      </c>
      <c r="D25" t="s">
        <v>32</v>
      </c>
      <c r="E25">
        <v>25</v>
      </c>
    </row>
    <row r="26" spans="1:5" x14ac:dyDescent="0.35">
      <c r="A26">
        <v>2022</v>
      </c>
      <c r="B26" t="s">
        <v>18</v>
      </c>
      <c r="C26" t="s">
        <v>13</v>
      </c>
      <c r="D26" t="s">
        <v>31</v>
      </c>
      <c r="E26">
        <v>52</v>
      </c>
    </row>
    <row r="27" spans="1:5" x14ac:dyDescent="0.35">
      <c r="A27">
        <v>2022</v>
      </c>
      <c r="B27" t="s">
        <v>18</v>
      </c>
      <c r="C27" t="s">
        <v>13</v>
      </c>
      <c r="D27" t="s">
        <v>32</v>
      </c>
      <c r="E27">
        <v>34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2BEC-7477-404C-BD74-FC4086415960}">
  <dimension ref="A1:E27"/>
  <sheetViews>
    <sheetView workbookViewId="0">
      <pane ySplit="1" topLeftCell="A2" activePane="bottomLeft" state="frozen"/>
      <selection pane="bottomLeft" activeCell="I5" sqref="H2:I5"/>
    </sheetView>
  </sheetViews>
  <sheetFormatPr defaultRowHeight="14.5" x14ac:dyDescent="0.35"/>
  <cols>
    <col min="5" max="5" width="12.1796875" customWidth="1"/>
    <col min="6" max="6" width="11.453125" customWidth="1"/>
  </cols>
  <sheetData>
    <row r="1" spans="1:5" x14ac:dyDescent="0.35">
      <c r="A1" t="s">
        <v>0</v>
      </c>
      <c r="B1" t="s">
        <v>1</v>
      </c>
      <c r="C1" t="s">
        <v>2</v>
      </c>
      <c r="D1" t="s">
        <v>30</v>
      </c>
      <c r="E1" t="s">
        <v>5</v>
      </c>
    </row>
    <row r="2" spans="1:5" x14ac:dyDescent="0.35">
      <c r="A2">
        <v>2024</v>
      </c>
      <c r="B2" t="s">
        <v>6</v>
      </c>
      <c r="C2" t="s">
        <v>13</v>
      </c>
      <c r="D2" t="s">
        <v>31</v>
      </c>
      <c r="E2">
        <v>42</v>
      </c>
    </row>
    <row r="3" spans="1:5" x14ac:dyDescent="0.35">
      <c r="A3">
        <v>2024</v>
      </c>
      <c r="B3" t="s">
        <v>6</v>
      </c>
      <c r="C3" t="s">
        <v>13</v>
      </c>
      <c r="D3" t="s">
        <v>32</v>
      </c>
      <c r="E3">
        <v>30</v>
      </c>
    </row>
    <row r="4" spans="1:5" x14ac:dyDescent="0.35">
      <c r="A4">
        <v>2024</v>
      </c>
      <c r="B4" t="s">
        <v>19</v>
      </c>
      <c r="C4" t="s">
        <v>13</v>
      </c>
      <c r="D4" t="s">
        <v>31</v>
      </c>
      <c r="E4">
        <v>60</v>
      </c>
    </row>
    <row r="5" spans="1:5" x14ac:dyDescent="0.35">
      <c r="A5">
        <v>2024</v>
      </c>
      <c r="B5" t="s">
        <v>19</v>
      </c>
      <c r="C5" t="s">
        <v>13</v>
      </c>
      <c r="D5" t="s">
        <v>32</v>
      </c>
      <c r="E5">
        <v>42</v>
      </c>
    </row>
    <row r="6" spans="1:5" x14ac:dyDescent="0.35">
      <c r="A6">
        <v>2024</v>
      </c>
      <c r="B6" t="s">
        <v>22</v>
      </c>
      <c r="C6" t="s">
        <v>13</v>
      </c>
      <c r="D6" t="s">
        <v>31</v>
      </c>
      <c r="E6">
        <v>78</v>
      </c>
    </row>
    <row r="7" spans="1:5" x14ac:dyDescent="0.35">
      <c r="A7">
        <v>2024</v>
      </c>
      <c r="B7" t="s">
        <v>22</v>
      </c>
      <c r="C7" t="s">
        <v>13</v>
      </c>
      <c r="D7" t="s">
        <v>32</v>
      </c>
      <c r="E7">
        <v>70</v>
      </c>
    </row>
    <row r="8" spans="1:5" x14ac:dyDescent="0.35">
      <c r="A8">
        <v>2024</v>
      </c>
      <c r="B8" t="s">
        <v>20</v>
      </c>
      <c r="C8" t="s">
        <v>13</v>
      </c>
      <c r="D8" t="s">
        <v>31</v>
      </c>
      <c r="E8">
        <v>74</v>
      </c>
    </row>
    <row r="9" spans="1:5" x14ac:dyDescent="0.35">
      <c r="A9">
        <v>2024</v>
      </c>
      <c r="B9" t="s">
        <v>20</v>
      </c>
      <c r="C9" t="s">
        <v>13</v>
      </c>
      <c r="D9" t="s">
        <v>32</v>
      </c>
      <c r="E9">
        <v>58</v>
      </c>
    </row>
    <row r="10" spans="1:5" x14ac:dyDescent="0.35">
      <c r="A10">
        <v>2024</v>
      </c>
      <c r="B10" t="s">
        <v>24</v>
      </c>
      <c r="C10" t="s">
        <v>13</v>
      </c>
      <c r="D10" t="s">
        <v>31</v>
      </c>
      <c r="E10">
        <v>65</v>
      </c>
    </row>
    <row r="11" spans="1:5" x14ac:dyDescent="0.35">
      <c r="A11">
        <v>2024</v>
      </c>
      <c r="B11" t="s">
        <v>24</v>
      </c>
      <c r="C11" t="s">
        <v>13</v>
      </c>
      <c r="D11" t="s">
        <v>32</v>
      </c>
      <c r="E11">
        <v>45</v>
      </c>
    </row>
    <row r="12" spans="1:5" x14ac:dyDescent="0.35">
      <c r="A12">
        <v>2024</v>
      </c>
      <c r="B12" t="s">
        <v>28</v>
      </c>
      <c r="C12" t="s">
        <v>13</v>
      </c>
      <c r="D12" t="s">
        <v>31</v>
      </c>
      <c r="E12">
        <v>44</v>
      </c>
    </row>
    <row r="13" spans="1:5" x14ac:dyDescent="0.35">
      <c r="A13">
        <v>2024</v>
      </c>
      <c r="B13" t="s">
        <v>28</v>
      </c>
      <c r="C13" t="s">
        <v>13</v>
      </c>
      <c r="D13" t="s">
        <v>32</v>
      </c>
      <c r="E13">
        <v>28</v>
      </c>
    </row>
    <row r="14" spans="1:5" x14ac:dyDescent="0.35">
      <c r="A14">
        <v>2024</v>
      </c>
      <c r="B14" t="s">
        <v>25</v>
      </c>
      <c r="C14" t="s">
        <v>13</v>
      </c>
      <c r="D14" t="s">
        <v>31</v>
      </c>
      <c r="E14">
        <v>75</v>
      </c>
    </row>
    <row r="15" spans="1:5" x14ac:dyDescent="0.35">
      <c r="A15">
        <v>2024</v>
      </c>
      <c r="B15" t="s">
        <v>25</v>
      </c>
      <c r="C15" t="s">
        <v>13</v>
      </c>
      <c r="D15" t="s">
        <v>32</v>
      </c>
      <c r="E15">
        <v>55</v>
      </c>
    </row>
    <row r="16" spans="1:5" x14ac:dyDescent="0.35">
      <c r="A16">
        <v>2024</v>
      </c>
      <c r="B16" t="s">
        <v>26</v>
      </c>
      <c r="C16" t="s">
        <v>13</v>
      </c>
      <c r="D16" t="s">
        <v>31</v>
      </c>
      <c r="E16">
        <v>48</v>
      </c>
    </row>
    <row r="17" spans="1:5" x14ac:dyDescent="0.35">
      <c r="A17">
        <v>2024</v>
      </c>
      <c r="B17" t="s">
        <v>26</v>
      </c>
      <c r="C17" t="s">
        <v>13</v>
      </c>
      <c r="D17" t="s">
        <v>32</v>
      </c>
      <c r="E17">
        <v>32</v>
      </c>
    </row>
    <row r="18" spans="1:5" x14ac:dyDescent="0.35">
      <c r="A18">
        <v>2024</v>
      </c>
      <c r="B18" t="s">
        <v>27</v>
      </c>
      <c r="C18" t="s">
        <v>13</v>
      </c>
      <c r="D18" t="s">
        <v>31</v>
      </c>
      <c r="E18">
        <v>68</v>
      </c>
    </row>
    <row r="19" spans="1:5" x14ac:dyDescent="0.35">
      <c r="A19">
        <v>2024</v>
      </c>
      <c r="B19" t="s">
        <v>27</v>
      </c>
      <c r="C19" t="s">
        <v>13</v>
      </c>
      <c r="D19" t="s">
        <v>32</v>
      </c>
      <c r="E19">
        <v>48</v>
      </c>
    </row>
    <row r="20" spans="1:5" x14ac:dyDescent="0.35">
      <c r="A20">
        <v>2024</v>
      </c>
      <c r="B20" t="s">
        <v>29</v>
      </c>
      <c r="C20" t="s">
        <v>13</v>
      </c>
      <c r="D20" t="s">
        <v>31</v>
      </c>
      <c r="E20">
        <v>58</v>
      </c>
    </row>
    <row r="21" spans="1:5" x14ac:dyDescent="0.35">
      <c r="A21">
        <v>2024</v>
      </c>
      <c r="B21" t="s">
        <v>29</v>
      </c>
      <c r="C21" t="s">
        <v>13</v>
      </c>
      <c r="D21" t="s">
        <v>32</v>
      </c>
      <c r="E21">
        <v>38</v>
      </c>
    </row>
    <row r="22" spans="1:5" x14ac:dyDescent="0.35">
      <c r="A22">
        <v>2024</v>
      </c>
      <c r="B22" t="s">
        <v>23</v>
      </c>
      <c r="C22" t="s">
        <v>13</v>
      </c>
      <c r="D22" t="s">
        <v>31</v>
      </c>
      <c r="E22">
        <v>43</v>
      </c>
    </row>
    <row r="23" spans="1:5" x14ac:dyDescent="0.35">
      <c r="A23">
        <v>2024</v>
      </c>
      <c r="B23" t="s">
        <v>23</v>
      </c>
      <c r="C23" t="s">
        <v>13</v>
      </c>
      <c r="D23" t="s">
        <v>32</v>
      </c>
      <c r="E23">
        <v>30</v>
      </c>
    </row>
    <row r="24" spans="1:5" x14ac:dyDescent="0.35">
      <c r="A24">
        <v>2024</v>
      </c>
      <c r="B24" t="s">
        <v>21</v>
      </c>
      <c r="C24" t="s">
        <v>13</v>
      </c>
      <c r="D24" t="s">
        <v>31</v>
      </c>
      <c r="E24">
        <v>40</v>
      </c>
    </row>
    <row r="25" spans="1:5" x14ac:dyDescent="0.35">
      <c r="A25">
        <v>2024</v>
      </c>
      <c r="B25" t="s">
        <v>21</v>
      </c>
      <c r="C25" t="s">
        <v>13</v>
      </c>
      <c r="D25" t="s">
        <v>32</v>
      </c>
      <c r="E25">
        <v>28</v>
      </c>
    </row>
    <row r="26" spans="1:5" x14ac:dyDescent="0.35">
      <c r="A26">
        <v>2024</v>
      </c>
      <c r="B26" t="s">
        <v>18</v>
      </c>
      <c r="C26" t="s">
        <v>13</v>
      </c>
      <c r="D26" t="s">
        <v>31</v>
      </c>
      <c r="E26">
        <v>55</v>
      </c>
    </row>
    <row r="27" spans="1:5" x14ac:dyDescent="0.35">
      <c r="A27">
        <v>2024</v>
      </c>
      <c r="B27" t="s">
        <v>18</v>
      </c>
      <c r="C27" t="s">
        <v>13</v>
      </c>
      <c r="D27" t="s">
        <v>32</v>
      </c>
      <c r="E27">
        <v>36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D3E9-DC8D-4B62-9ED5-03E6D2EA536F}">
  <dimension ref="A1:E7"/>
  <sheetViews>
    <sheetView workbookViewId="0">
      <pane ySplit="1" topLeftCell="A2" activePane="bottomLeft" state="frozen"/>
      <selection pane="bottomLeft" activeCell="E14" sqref="E14"/>
    </sheetView>
  </sheetViews>
  <sheetFormatPr defaultRowHeight="14.5" x14ac:dyDescent="0.35"/>
  <cols>
    <col min="5" max="5" width="12.1796875" customWidth="1"/>
    <col min="6" max="6" width="8.7265625" customWidth="1"/>
  </cols>
  <sheetData>
    <row r="1" spans="1:5" x14ac:dyDescent="0.35">
      <c r="A1" t="s">
        <v>0</v>
      </c>
      <c r="B1" t="s">
        <v>36</v>
      </c>
      <c r="C1" t="s">
        <v>2</v>
      </c>
      <c r="D1" t="s">
        <v>30</v>
      </c>
      <c r="E1" t="s">
        <v>5</v>
      </c>
    </row>
    <row r="2" spans="1:5" x14ac:dyDescent="0.35">
      <c r="A2">
        <v>2024</v>
      </c>
      <c r="B2" t="s">
        <v>33</v>
      </c>
      <c r="C2" t="s">
        <v>7</v>
      </c>
      <c r="D2" t="s">
        <v>31</v>
      </c>
      <c r="E2">
        <v>27</v>
      </c>
    </row>
    <row r="3" spans="1:5" x14ac:dyDescent="0.35">
      <c r="A3">
        <v>2024</v>
      </c>
      <c r="B3" t="s">
        <v>33</v>
      </c>
      <c r="C3" t="s">
        <v>7</v>
      </c>
      <c r="D3" t="s">
        <v>34</v>
      </c>
      <c r="E3">
        <v>25</v>
      </c>
    </row>
    <row r="4" spans="1:5" x14ac:dyDescent="0.35">
      <c r="A4">
        <v>2024</v>
      </c>
      <c r="B4" t="s">
        <v>33</v>
      </c>
      <c r="C4" t="s">
        <v>13</v>
      </c>
      <c r="D4" t="s">
        <v>31</v>
      </c>
      <c r="E4">
        <v>48</v>
      </c>
    </row>
    <row r="5" spans="1:5" x14ac:dyDescent="0.35">
      <c r="A5">
        <v>2024</v>
      </c>
      <c r="B5" t="s">
        <v>33</v>
      </c>
      <c r="C5" t="s">
        <v>13</v>
      </c>
      <c r="D5" t="s">
        <v>32</v>
      </c>
      <c r="E5">
        <v>30</v>
      </c>
    </row>
    <row r="6" spans="1:5" x14ac:dyDescent="0.35">
      <c r="A6">
        <v>2024</v>
      </c>
      <c r="B6" t="s">
        <v>33</v>
      </c>
      <c r="C6" t="s">
        <v>35</v>
      </c>
      <c r="D6" t="s">
        <v>31</v>
      </c>
      <c r="E6">
        <v>73</v>
      </c>
    </row>
    <row r="7" spans="1:5" x14ac:dyDescent="0.35">
      <c r="A7">
        <v>2024</v>
      </c>
      <c r="B7" t="s">
        <v>33</v>
      </c>
      <c r="C7" t="s">
        <v>35</v>
      </c>
      <c r="D7" t="s">
        <v>32</v>
      </c>
      <c r="E7">
        <v>44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FDCA-2756-4D29-9D02-BC70DFBBD959}">
  <dimension ref="A3:B18"/>
  <sheetViews>
    <sheetView workbookViewId="0">
      <selection activeCell="A19" sqref="A19"/>
    </sheetView>
  </sheetViews>
  <sheetFormatPr defaultRowHeight="14.5" x14ac:dyDescent="0.35"/>
  <cols>
    <col min="1" max="1" width="15.81640625" bestFit="1" customWidth="1"/>
    <col min="2" max="2" width="19.7265625" bestFit="1" customWidth="1"/>
  </cols>
  <sheetData>
    <row r="3" spans="1:2" x14ac:dyDescent="0.35">
      <c r="A3" s="5" t="s">
        <v>56</v>
      </c>
      <c r="B3" t="s">
        <v>58</v>
      </c>
    </row>
    <row r="4" spans="1:2" x14ac:dyDescent="0.35">
      <c r="A4" s="4" t="s">
        <v>6</v>
      </c>
      <c r="B4">
        <v>28.286363636363635</v>
      </c>
    </row>
    <row r="5" spans="1:2" x14ac:dyDescent="0.35">
      <c r="A5" s="4" t="s">
        <v>18</v>
      </c>
      <c r="B5">
        <v>35.759090909090908</v>
      </c>
    </row>
    <row r="6" spans="1:2" x14ac:dyDescent="0.35">
      <c r="A6" s="4" t="s">
        <v>19</v>
      </c>
      <c r="B6">
        <v>46.822727272727271</v>
      </c>
    </row>
    <row r="7" spans="1:2" x14ac:dyDescent="0.35">
      <c r="A7" s="4" t="s">
        <v>20</v>
      </c>
      <c r="B7">
        <v>61.536363636363632</v>
      </c>
    </row>
    <row r="8" spans="1:2" x14ac:dyDescent="0.35">
      <c r="A8" s="4" t="s">
        <v>33</v>
      </c>
      <c r="B8">
        <v>41.166666666666664</v>
      </c>
    </row>
    <row r="9" spans="1:2" x14ac:dyDescent="0.35">
      <c r="A9" s="4" t="s">
        <v>21</v>
      </c>
      <c r="B9">
        <v>29.881818181818186</v>
      </c>
    </row>
    <row r="10" spans="1:2" x14ac:dyDescent="0.35">
      <c r="A10" s="4" t="s">
        <v>22</v>
      </c>
      <c r="B10">
        <v>69.872727272727275</v>
      </c>
    </row>
    <row r="11" spans="1:2" x14ac:dyDescent="0.35">
      <c r="A11" s="4" t="s">
        <v>23</v>
      </c>
      <c r="B11">
        <v>31.881818181818179</v>
      </c>
    </row>
    <row r="12" spans="1:2" x14ac:dyDescent="0.35">
      <c r="A12" s="4" t="s">
        <v>24</v>
      </c>
      <c r="B12">
        <v>50.045454545454547</v>
      </c>
    </row>
    <row r="13" spans="1:2" x14ac:dyDescent="0.35">
      <c r="A13" s="4" t="s">
        <v>25</v>
      </c>
      <c r="B13">
        <v>58.954545454545453</v>
      </c>
    </row>
    <row r="14" spans="1:2" x14ac:dyDescent="0.35">
      <c r="A14" s="4" t="s">
        <v>26</v>
      </c>
      <c r="B14">
        <v>31.9</v>
      </c>
    </row>
    <row r="15" spans="1:2" x14ac:dyDescent="0.35">
      <c r="A15" s="4" t="s">
        <v>27</v>
      </c>
      <c r="B15">
        <v>56.190909090909081</v>
      </c>
    </row>
    <row r="16" spans="1:2" x14ac:dyDescent="0.35">
      <c r="A16" s="4" t="s">
        <v>28</v>
      </c>
      <c r="B16">
        <v>27.309090909090909</v>
      </c>
    </row>
    <row r="17" spans="1:2" x14ac:dyDescent="0.35">
      <c r="A17" s="4" t="s">
        <v>29</v>
      </c>
      <c r="B17">
        <v>40.81818181818182</v>
      </c>
    </row>
    <row r="18" spans="1:2" x14ac:dyDescent="0.35">
      <c r="A18" s="4" t="s">
        <v>57</v>
      </c>
      <c r="B18">
        <v>43.735273972602762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51E830-1DDE-4B39-93F4-A68C919F3E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Master_Sheet</vt:lpstr>
      <vt:lpstr>insights</vt:lpstr>
      <vt:lpstr>KPI</vt:lpstr>
      <vt:lpstr>2014</vt:lpstr>
      <vt:lpstr>2016</vt:lpstr>
      <vt:lpstr>2018</vt:lpstr>
      <vt:lpstr>2022</vt:lpstr>
      <vt:lpstr>2024_state</vt:lpstr>
      <vt:lpstr>2024_national</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Babu</dc:creator>
  <cp:lastModifiedBy>Vinay Babu</cp:lastModifiedBy>
  <dcterms:created xsi:type="dcterms:W3CDTF">2026-04-17T09:08:39Z</dcterms:created>
  <dcterms:modified xsi:type="dcterms:W3CDTF">2026-04-19T14:23:55Z</dcterms:modified>
</cp:coreProperties>
</file>